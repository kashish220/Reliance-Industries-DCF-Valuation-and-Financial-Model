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500" windowWidth="28800" windowHeight="17500" activeTab="6"/>
  </bookViews>
  <sheets>
    <sheet name="HISTORICAL FS" sheetId="7" r:id="rId1"/>
    <sheet name="Data Sheet" sheetId="6" r:id="rId2"/>
    <sheet name="Ratio Analysis" sheetId="10" r:id="rId3"/>
    <sheet name="Forcasting" sheetId="12" r:id="rId4"/>
    <sheet name="CFS" sheetId="9" r:id="rId5"/>
    <sheet name="wacc" sheetId="8" r:id="rId6"/>
    <sheet name="DCF" sheetId="14" r:id="rId7"/>
    <sheet name="RAW FS" sheetId="15" r:id="rId8"/>
    <sheet name="BETA Comps." sheetId="13" r:id="rId9"/>
    <sheet name="Intrisic Growth " sheetId="16" r:id="rId10"/>
    <sheet name="Profit &amp; Loss" sheetId="1" r:id="rId11"/>
    <sheet name="Quarters" sheetId="3" r:id="rId12"/>
    <sheet name="Balance Sheet" sheetId="2" r:id="rId13"/>
    <sheet name="Cash Flow" sheetId="4" r:id="rId14"/>
    <sheet name="Customization" sheetId="5" r:id="rId15"/>
  </sheets>
  <externalReferences>
    <externalReference r:id="rId16"/>
    <externalReference r:id="rId17"/>
  </externalReferences>
  <definedNames>
    <definedName name="UPDATE">'Data Sheet'!$E$1</definedName>
  </definedNames>
  <calcPr calcId="152511"/>
</workbook>
</file>

<file path=xl/calcChain.xml><?xml version="1.0" encoding="utf-8"?>
<calcChain xmlns="http://schemas.openxmlformats.org/spreadsheetml/2006/main">
  <c r="C100" i="7" l="1"/>
  <c r="C41" i="7"/>
  <c r="C39" i="7"/>
  <c r="C34" i="7"/>
  <c r="C29" i="7"/>
  <c r="C16" i="7"/>
  <c r="E43" i="14" l="1"/>
  <c r="E40" i="14"/>
  <c r="E39" i="14" l="1"/>
  <c r="E27" i="14"/>
  <c r="J15" i="14"/>
  <c r="K15" i="14"/>
  <c r="L15" i="14" s="1"/>
  <c r="I15" i="14"/>
  <c r="I13" i="14"/>
  <c r="J13" i="14" s="1"/>
  <c r="K13" i="14" s="1"/>
  <c r="L13" i="14" s="1"/>
  <c r="H13" i="14"/>
  <c r="I11" i="14"/>
  <c r="J11" i="14"/>
  <c r="K11" i="14" s="1"/>
  <c r="L11" i="14" s="1"/>
  <c r="H11" i="14"/>
  <c r="H9" i="14"/>
  <c r="I9" i="14"/>
  <c r="J9" i="14" s="1"/>
  <c r="K9" i="14" s="1"/>
  <c r="L9" i="14" s="1"/>
  <c r="H5" i="14"/>
  <c r="I5" i="14" s="1"/>
  <c r="J5" i="14" s="1"/>
  <c r="K5" i="14" s="1"/>
  <c r="L5" i="14" s="1"/>
  <c r="J56" i="16"/>
  <c r="K56" i="16"/>
  <c r="L56" i="16"/>
  <c r="I56" i="16"/>
  <c r="P56" i="16" s="1"/>
  <c r="G21" i="14" s="1"/>
  <c r="J53" i="16"/>
  <c r="K53" i="16"/>
  <c r="L53" i="16"/>
  <c r="G13" i="14"/>
  <c r="G11" i="14"/>
  <c r="P50" i="16"/>
  <c r="J50" i="16"/>
  <c r="K50" i="16"/>
  <c r="L50" i="16"/>
  <c r="G9" i="14"/>
  <c r="G7" i="14"/>
  <c r="G5" i="14"/>
  <c r="J54" i="16"/>
  <c r="K54" i="16"/>
  <c r="L54" i="16"/>
  <c r="I54" i="16"/>
  <c r="I53" i="16"/>
  <c r="I52" i="16"/>
  <c r="J52" i="16"/>
  <c r="K52" i="16"/>
  <c r="L52" i="16"/>
  <c r="H52" i="16"/>
  <c r="I50" i="16"/>
  <c r="I46" i="16"/>
  <c r="J46" i="16"/>
  <c r="K46" i="16"/>
  <c r="L46" i="16"/>
  <c r="H46" i="16"/>
  <c r="J48" i="16"/>
  <c r="K48" i="16"/>
  <c r="L48" i="16"/>
  <c r="I48" i="16"/>
  <c r="I45" i="16"/>
  <c r="J45" i="16"/>
  <c r="K45" i="16"/>
  <c r="L45" i="16"/>
  <c r="H45" i="16"/>
  <c r="I44" i="16"/>
  <c r="J44" i="16"/>
  <c r="K44" i="16"/>
  <c r="L44" i="16"/>
  <c r="H44" i="16"/>
  <c r="J42" i="16"/>
  <c r="K42" i="16"/>
  <c r="L42" i="16"/>
  <c r="I42" i="16"/>
  <c r="I41" i="16"/>
  <c r="J41" i="16"/>
  <c r="K41" i="16"/>
  <c r="L41" i="16"/>
  <c r="H41" i="16"/>
  <c r="I38" i="16"/>
  <c r="J38" i="16"/>
  <c r="K38" i="16"/>
  <c r="L38" i="16"/>
  <c r="H38" i="16"/>
  <c r="I34" i="16"/>
  <c r="J34" i="16"/>
  <c r="K34" i="16"/>
  <c r="L34" i="16"/>
  <c r="H34" i="16"/>
  <c r="I30" i="16" l="1"/>
  <c r="J30" i="16"/>
  <c r="K30" i="16"/>
  <c r="L30" i="16"/>
  <c r="H30" i="16"/>
  <c r="B30" i="16"/>
  <c r="H20" i="16"/>
  <c r="I20" i="16"/>
  <c r="J20" i="16"/>
  <c r="K20" i="16"/>
  <c r="L20" i="16"/>
  <c r="H21" i="16"/>
  <c r="I21" i="16"/>
  <c r="J21" i="16"/>
  <c r="K21" i="16"/>
  <c r="L21" i="16"/>
  <c r="H22" i="16"/>
  <c r="I22" i="16"/>
  <c r="J22" i="16"/>
  <c r="K22" i="16"/>
  <c r="L22" i="16"/>
  <c r="H23" i="16"/>
  <c r="I23" i="16"/>
  <c r="J23" i="16"/>
  <c r="K23" i="16"/>
  <c r="L23" i="16"/>
  <c r="H24" i="16"/>
  <c r="I24" i="16"/>
  <c r="J24" i="16"/>
  <c r="K24" i="16"/>
  <c r="L24" i="16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I19" i="16"/>
  <c r="J19" i="16"/>
  <c r="K19" i="16"/>
  <c r="L19" i="16"/>
  <c r="H19" i="16"/>
  <c r="B20" i="16"/>
  <c r="B21" i="16"/>
  <c r="B22" i="16"/>
  <c r="B23" i="16"/>
  <c r="B24" i="16"/>
  <c r="B25" i="16"/>
  <c r="B26" i="16"/>
  <c r="B27" i="16"/>
  <c r="B19" i="16"/>
  <c r="I13" i="16"/>
  <c r="J13" i="16"/>
  <c r="K13" i="16"/>
  <c r="L13" i="16"/>
  <c r="H13" i="16"/>
  <c r="I12" i="16"/>
  <c r="J12" i="16"/>
  <c r="K12" i="16"/>
  <c r="K14" i="16" s="1"/>
  <c r="L12" i="16"/>
  <c r="H12" i="16"/>
  <c r="B13" i="16"/>
  <c r="B12" i="16"/>
  <c r="I8" i="16"/>
  <c r="J8" i="16"/>
  <c r="K8" i="16"/>
  <c r="L8" i="16"/>
  <c r="H8" i="16"/>
  <c r="I7" i="16"/>
  <c r="J7" i="16"/>
  <c r="K7" i="16"/>
  <c r="L7" i="16"/>
  <c r="H7" i="16"/>
  <c r="I6" i="16"/>
  <c r="J6" i="16"/>
  <c r="K6" i="16"/>
  <c r="L6" i="16"/>
  <c r="H6" i="16"/>
  <c r="I5" i="16"/>
  <c r="J5" i="16"/>
  <c r="K5" i="16"/>
  <c r="L5" i="16"/>
  <c r="H5" i="16"/>
  <c r="B8" i="16"/>
  <c r="B7" i="16"/>
  <c r="B6" i="16"/>
  <c r="B5" i="16"/>
  <c r="I2" i="16"/>
  <c r="J2" i="16"/>
  <c r="K2" i="16"/>
  <c r="L2" i="16"/>
  <c r="H2" i="16"/>
  <c r="K29" i="16" l="1"/>
  <c r="K31" i="16" s="1"/>
  <c r="J29" i="16"/>
  <c r="J31" i="16" s="1"/>
  <c r="I14" i="16"/>
  <c r="L29" i="16"/>
  <c r="L31" i="16" s="1"/>
  <c r="H29" i="16"/>
  <c r="H31" i="16" s="1"/>
  <c r="I29" i="16"/>
  <c r="I31" i="16" s="1"/>
  <c r="J9" i="16"/>
  <c r="L14" i="16"/>
  <c r="H14" i="16"/>
  <c r="J14" i="16"/>
  <c r="H9" i="16"/>
  <c r="I9" i="16"/>
  <c r="I16" i="16" s="1"/>
  <c r="L9" i="16"/>
  <c r="K9" i="16"/>
  <c r="K16" i="16" s="1"/>
  <c r="D29" i="15"/>
  <c r="E29" i="15"/>
  <c r="F29" i="15"/>
  <c r="G29" i="15"/>
  <c r="H29" i="15"/>
  <c r="I29" i="15"/>
  <c r="J29" i="15"/>
  <c r="K29" i="15"/>
  <c r="L29" i="15"/>
  <c r="M29" i="15"/>
  <c r="N29" i="15"/>
  <c r="C29" i="15"/>
  <c r="I33" i="16" l="1"/>
  <c r="I36" i="16" s="1"/>
  <c r="K33" i="16"/>
  <c r="K36" i="16" s="1"/>
  <c r="H16" i="16"/>
  <c r="H33" i="16" s="1"/>
  <c r="H36" i="16" s="1"/>
  <c r="L16" i="16"/>
  <c r="L33" i="16" s="1"/>
  <c r="L36" i="16" s="1"/>
  <c r="J16" i="16"/>
  <c r="J33" i="16" s="1"/>
  <c r="J36" i="16" s="1"/>
  <c r="H112" i="13"/>
  <c r="E112" i="13"/>
  <c r="H111" i="13"/>
  <c r="E111" i="13"/>
  <c r="H110" i="13"/>
  <c r="E110" i="13"/>
  <c r="H109" i="13"/>
  <c r="E109" i="13"/>
  <c r="H108" i="13"/>
  <c r="E108" i="13"/>
  <c r="H107" i="13"/>
  <c r="E107" i="13"/>
  <c r="H106" i="13"/>
  <c r="E106" i="13"/>
  <c r="H105" i="13"/>
  <c r="E105" i="13"/>
  <c r="H104" i="13"/>
  <c r="E104" i="13"/>
  <c r="H103" i="13"/>
  <c r="E103" i="13"/>
  <c r="H102" i="13"/>
  <c r="E102" i="13"/>
  <c r="H101" i="13"/>
  <c r="E101" i="13"/>
  <c r="H100" i="13"/>
  <c r="E100" i="13"/>
  <c r="H99" i="13"/>
  <c r="E99" i="13"/>
  <c r="H98" i="13"/>
  <c r="E98" i="13"/>
  <c r="H97" i="13"/>
  <c r="E97" i="13"/>
  <c r="H96" i="13"/>
  <c r="E96" i="13"/>
  <c r="H95" i="13"/>
  <c r="E95" i="13"/>
  <c r="H94" i="13"/>
  <c r="E94" i="13"/>
  <c r="H93" i="13"/>
  <c r="E93" i="13"/>
  <c r="H92" i="13"/>
  <c r="E92" i="13"/>
  <c r="H91" i="13"/>
  <c r="E91" i="13"/>
  <c r="H90" i="13"/>
  <c r="E90" i="13"/>
  <c r="H89" i="13"/>
  <c r="E89" i="13"/>
  <c r="H88" i="13"/>
  <c r="E88" i="13"/>
  <c r="H87" i="13"/>
  <c r="E87" i="13"/>
  <c r="H86" i="13"/>
  <c r="E86" i="13"/>
  <c r="H85" i="13"/>
  <c r="E85" i="13"/>
  <c r="H84" i="13"/>
  <c r="E84" i="13"/>
  <c r="H83" i="13"/>
  <c r="E83" i="13"/>
  <c r="H82" i="13"/>
  <c r="E82" i="13"/>
  <c r="H81" i="13"/>
  <c r="E81" i="13"/>
  <c r="H80" i="13"/>
  <c r="E80" i="13"/>
  <c r="H79" i="13"/>
  <c r="E79" i="13"/>
  <c r="H78" i="13"/>
  <c r="E78" i="13"/>
  <c r="H77" i="13"/>
  <c r="E77" i="13"/>
  <c r="H76" i="13"/>
  <c r="E76" i="13"/>
  <c r="H75" i="13"/>
  <c r="E75" i="13"/>
  <c r="H74" i="13"/>
  <c r="E74" i="13"/>
  <c r="H73" i="13"/>
  <c r="E73" i="13"/>
  <c r="H72" i="13"/>
  <c r="E72" i="13"/>
  <c r="H71" i="13"/>
  <c r="E71" i="13"/>
  <c r="H70" i="13"/>
  <c r="E70" i="13"/>
  <c r="H69" i="13"/>
  <c r="E69" i="13"/>
  <c r="H68" i="13"/>
  <c r="E68" i="13"/>
  <c r="H67" i="13"/>
  <c r="E67" i="13"/>
  <c r="H66" i="13"/>
  <c r="E66" i="13"/>
  <c r="H65" i="13"/>
  <c r="E65" i="13"/>
  <c r="H64" i="13"/>
  <c r="E64" i="13"/>
  <c r="H63" i="13"/>
  <c r="E63" i="13"/>
  <c r="H62" i="13"/>
  <c r="E62" i="13"/>
  <c r="H61" i="13"/>
  <c r="E61" i="13"/>
  <c r="H60" i="13"/>
  <c r="E60" i="13"/>
  <c r="H59" i="13"/>
  <c r="E59" i="13"/>
  <c r="H58" i="13"/>
  <c r="E58" i="13"/>
  <c r="H57" i="13"/>
  <c r="E57" i="13"/>
  <c r="H56" i="13"/>
  <c r="E56" i="13"/>
  <c r="H55" i="13"/>
  <c r="E55" i="13"/>
  <c r="H54" i="13"/>
  <c r="E54" i="13"/>
  <c r="H53" i="13"/>
  <c r="E53" i="13"/>
  <c r="H52" i="13"/>
  <c r="E52" i="13"/>
  <c r="H51" i="13"/>
  <c r="E51" i="13"/>
  <c r="H50" i="13"/>
  <c r="E50" i="13"/>
  <c r="H49" i="13"/>
  <c r="E49" i="13"/>
  <c r="H48" i="13"/>
  <c r="E48" i="13"/>
  <c r="H47" i="13"/>
  <c r="E47" i="13"/>
  <c r="H46" i="13"/>
  <c r="E46" i="13"/>
  <c r="H45" i="13"/>
  <c r="E45" i="13"/>
  <c r="H44" i="13"/>
  <c r="E44" i="13"/>
  <c r="H43" i="13"/>
  <c r="E43" i="13"/>
  <c r="H42" i="13"/>
  <c r="E42" i="13"/>
  <c r="H41" i="13"/>
  <c r="E41" i="13"/>
  <c r="H40" i="13"/>
  <c r="E40" i="13"/>
  <c r="H39" i="13"/>
  <c r="E39" i="13"/>
  <c r="H38" i="13"/>
  <c r="E38" i="13"/>
  <c r="H37" i="13"/>
  <c r="E37" i="13"/>
  <c r="H36" i="13"/>
  <c r="E36" i="13"/>
  <c r="H35" i="13"/>
  <c r="E35" i="13"/>
  <c r="H34" i="13"/>
  <c r="E34" i="13"/>
  <c r="H33" i="13"/>
  <c r="E33" i="13"/>
  <c r="H32" i="13"/>
  <c r="E32" i="13"/>
  <c r="H31" i="13"/>
  <c r="E31" i="13"/>
  <c r="H30" i="13"/>
  <c r="E30" i="13"/>
  <c r="H29" i="13"/>
  <c r="E29" i="13"/>
  <c r="H28" i="13"/>
  <c r="E28" i="13"/>
  <c r="H27" i="13"/>
  <c r="E27" i="13"/>
  <c r="H26" i="13"/>
  <c r="E26" i="13"/>
  <c r="H25" i="13"/>
  <c r="E25" i="13"/>
  <c r="H24" i="13"/>
  <c r="E24" i="13"/>
  <c r="H23" i="13"/>
  <c r="E23" i="13"/>
  <c r="H22" i="13"/>
  <c r="E22" i="13"/>
  <c r="H21" i="13"/>
  <c r="E21" i="13"/>
  <c r="H20" i="13"/>
  <c r="E20" i="13"/>
  <c r="H19" i="13"/>
  <c r="E19" i="13"/>
  <c r="H18" i="13"/>
  <c r="E18" i="13"/>
  <c r="H17" i="13"/>
  <c r="E17" i="13"/>
  <c r="H16" i="13"/>
  <c r="E16" i="13"/>
  <c r="H15" i="13"/>
  <c r="E15" i="13"/>
  <c r="H14" i="13"/>
  <c r="E14" i="13"/>
  <c r="H13" i="13"/>
  <c r="E13" i="13"/>
  <c r="Q12" i="13"/>
  <c r="M7" i="13" s="1"/>
  <c r="M13" i="13" s="1"/>
  <c r="H12" i="13"/>
  <c r="E12" i="13"/>
  <c r="Q11" i="13"/>
  <c r="H11" i="13"/>
  <c r="E11" i="13"/>
  <c r="H10" i="13"/>
  <c r="E10" i="13"/>
  <c r="H9" i="13"/>
  <c r="E9" i="13"/>
  <c r="K39" i="8"/>
  <c r="K38" i="8"/>
  <c r="J38" i="8"/>
  <c r="E35" i="8"/>
  <c r="C33" i="8"/>
  <c r="D31" i="8" s="1"/>
  <c r="K32" i="8"/>
  <c r="E32" i="8"/>
  <c r="K31" i="8"/>
  <c r="E24" i="8"/>
  <c r="F17" i="8"/>
  <c r="F16" i="8"/>
  <c r="F13" i="8"/>
  <c r="E13" i="8"/>
  <c r="F12" i="8"/>
  <c r="E12" i="8"/>
  <c r="H12" i="8" s="1"/>
  <c r="K12" i="8" s="1"/>
  <c r="F11" i="8"/>
  <c r="E11" i="8"/>
  <c r="I11" i="8" s="1"/>
  <c r="F10" i="8"/>
  <c r="E10" i="8"/>
  <c r="J9" i="8"/>
  <c r="F9" i="8"/>
  <c r="E9" i="8"/>
  <c r="I13" i="8" l="1"/>
  <c r="H9" i="8"/>
  <c r="H10" i="8"/>
  <c r="K10" i="8" s="1"/>
  <c r="H13" i="8"/>
  <c r="K13" i="8" s="1"/>
  <c r="I9" i="8"/>
  <c r="I12" i="8"/>
  <c r="K9" i="8"/>
  <c r="D32" i="8"/>
  <c r="D35" i="8" s="1"/>
  <c r="D33" i="8"/>
  <c r="I10" i="8"/>
  <c r="H11" i="8"/>
  <c r="K11" i="8" s="1"/>
  <c r="L2" i="12"/>
  <c r="G2" i="12"/>
  <c r="H17" i="8" l="1"/>
  <c r="G17" i="8"/>
  <c r="J17" i="8" s="1"/>
  <c r="K30" i="8" s="1"/>
  <c r="K33" i="8" s="1"/>
  <c r="K24" i="8" s="1"/>
  <c r="K25" i="8" s="1"/>
  <c r="J39" i="8" s="1"/>
  <c r="K40" i="8" s="1"/>
  <c r="G23" i="14" s="1"/>
  <c r="G16" i="8"/>
  <c r="J16" i="8" s="1"/>
  <c r="H16" i="8"/>
  <c r="I15" i="12"/>
  <c r="I16" i="12"/>
  <c r="I17" i="12"/>
  <c r="J17" i="12" s="1"/>
  <c r="I18" i="12"/>
  <c r="I19" i="12"/>
  <c r="J19" i="12" s="1"/>
  <c r="I14" i="12"/>
  <c r="J14" i="12" s="1"/>
  <c r="J6" i="12"/>
  <c r="J7" i="12"/>
  <c r="J8" i="12"/>
  <c r="J9" i="12"/>
  <c r="J10" i="12"/>
  <c r="J11" i="12"/>
  <c r="J12" i="12"/>
  <c r="J13" i="12"/>
  <c r="J5" i="12"/>
  <c r="I4" i="12" a="1"/>
  <c r="I4" i="12" s="1"/>
  <c r="E14" i="12"/>
  <c r="E15" i="12"/>
  <c r="E16" i="12"/>
  <c r="E17" i="12"/>
  <c r="E18" i="12"/>
  <c r="E19" i="12"/>
  <c r="D15" i="12"/>
  <c r="D16" i="12"/>
  <c r="D17" i="12"/>
  <c r="D18" i="12"/>
  <c r="D19" i="12"/>
  <c r="D14" i="12"/>
  <c r="E6" i="12"/>
  <c r="E7" i="12"/>
  <c r="E8" i="12"/>
  <c r="E9" i="12"/>
  <c r="E10" i="12"/>
  <c r="E11" i="12"/>
  <c r="E12" i="12"/>
  <c r="E13" i="12"/>
  <c r="E5" i="12"/>
  <c r="D4" i="12" a="1"/>
  <c r="D4" i="12"/>
  <c r="D5" i="12"/>
  <c r="D6" i="12"/>
  <c r="D7" i="12"/>
  <c r="D8" i="12"/>
  <c r="D9" i="12"/>
  <c r="D10" i="12"/>
  <c r="D11" i="12"/>
  <c r="D12" i="12"/>
  <c r="D13" i="12"/>
  <c r="B2" i="12"/>
  <c r="I17" i="14" l="1"/>
  <c r="I19" i="14" s="1"/>
  <c r="H17" i="14"/>
  <c r="H19" i="14" s="1"/>
  <c r="J17" i="14"/>
  <c r="J19" i="14" s="1"/>
  <c r="E28" i="14"/>
  <c r="E31" i="14" s="1"/>
  <c r="K17" i="14"/>
  <c r="K19" i="14" s="1"/>
  <c r="L17" i="14"/>
  <c r="L19" i="14" s="1"/>
  <c r="J16" i="12"/>
  <c r="J18" i="12"/>
  <c r="J15" i="12"/>
  <c r="I7" i="12"/>
  <c r="I6" i="12"/>
  <c r="I13" i="12"/>
  <c r="I9" i="12"/>
  <c r="I5" i="12"/>
  <c r="I11" i="12"/>
  <c r="I10" i="12"/>
  <c r="I12" i="12"/>
  <c r="I8" i="12"/>
  <c r="E36" i="14" l="1"/>
  <c r="E35" i="14"/>
  <c r="O11" i="10"/>
  <c r="O12" i="10"/>
  <c r="O13" i="10"/>
  <c r="O14" i="10"/>
  <c r="O16" i="10"/>
  <c r="O17" i="10"/>
  <c r="O18" i="10"/>
  <c r="O20" i="10"/>
  <c r="O22" i="10"/>
  <c r="O24" i="10"/>
  <c r="O26" i="10"/>
  <c r="O27" i="10"/>
  <c r="O28" i="10"/>
  <c r="O29" i="10"/>
  <c r="O30" i="10"/>
  <c r="O32" i="10"/>
  <c r="O33" i="10"/>
  <c r="O34" i="10"/>
  <c r="O35" i="10"/>
  <c r="O42" i="10"/>
  <c r="O43" i="10"/>
  <c r="O44" i="10"/>
  <c r="O10" i="10"/>
  <c r="O5" i="10"/>
  <c r="O6" i="10"/>
  <c r="O7" i="10"/>
  <c r="O4" i="10"/>
  <c r="N11" i="10"/>
  <c r="N12" i="10"/>
  <c r="N13" i="10"/>
  <c r="N14" i="10"/>
  <c r="N16" i="10"/>
  <c r="N17" i="10"/>
  <c r="N18" i="10"/>
  <c r="N20" i="10"/>
  <c r="N22" i="10"/>
  <c r="N24" i="10"/>
  <c r="N26" i="10"/>
  <c r="N27" i="10"/>
  <c r="N28" i="10"/>
  <c r="N29" i="10"/>
  <c r="N30" i="10"/>
  <c r="N32" i="10"/>
  <c r="N33" i="10"/>
  <c r="N34" i="10"/>
  <c r="N35" i="10"/>
  <c r="N42" i="10"/>
  <c r="N43" i="10"/>
  <c r="N44" i="10"/>
  <c r="N10" i="10"/>
  <c r="E37" i="14" l="1"/>
  <c r="E42" i="14" s="1"/>
  <c r="E44" i="14" s="1"/>
  <c r="E47" i="14" s="1"/>
  <c r="N5" i="10"/>
  <c r="N6" i="10"/>
  <c r="N7" i="10"/>
  <c r="N4" i="10"/>
  <c r="D35" i="10"/>
  <c r="E35" i="10"/>
  <c r="F35" i="10"/>
  <c r="G35" i="10"/>
  <c r="H35" i="10"/>
  <c r="I35" i="10"/>
  <c r="J35" i="10"/>
  <c r="K35" i="10"/>
  <c r="L35" i="10"/>
  <c r="D34" i="10"/>
  <c r="E34" i="10"/>
  <c r="F34" i="10"/>
  <c r="G34" i="10"/>
  <c r="H34" i="10"/>
  <c r="I34" i="10"/>
  <c r="J34" i="10"/>
  <c r="K34" i="10"/>
  <c r="L34" i="10"/>
  <c r="D33" i="10"/>
  <c r="E33" i="10"/>
  <c r="F33" i="10"/>
  <c r="G33" i="10"/>
  <c r="H33" i="10"/>
  <c r="I33" i="10"/>
  <c r="J33" i="10"/>
  <c r="K33" i="10"/>
  <c r="L33" i="10"/>
  <c r="D32" i="10"/>
  <c r="E32" i="10"/>
  <c r="F32" i="10"/>
  <c r="G32" i="10"/>
  <c r="H32" i="10"/>
  <c r="I32" i="10"/>
  <c r="J32" i="10"/>
  <c r="K32" i="10"/>
  <c r="L32" i="10"/>
  <c r="C35" i="10"/>
  <c r="C34" i="10"/>
  <c r="C33" i="10"/>
  <c r="C32" i="10"/>
  <c r="D30" i="10"/>
  <c r="E30" i="10"/>
  <c r="F30" i="10"/>
  <c r="G30" i="10"/>
  <c r="H30" i="10"/>
  <c r="I30" i="10"/>
  <c r="J30" i="10"/>
  <c r="K30" i="10"/>
  <c r="L30" i="10"/>
  <c r="D29" i="10"/>
  <c r="E29" i="10"/>
  <c r="F29" i="10"/>
  <c r="G29" i="10"/>
  <c r="H29" i="10"/>
  <c r="I29" i="10"/>
  <c r="J29" i="10"/>
  <c r="K29" i="10"/>
  <c r="L29" i="10"/>
  <c r="D28" i="10"/>
  <c r="E28" i="10"/>
  <c r="F28" i="10"/>
  <c r="G28" i="10"/>
  <c r="H28" i="10"/>
  <c r="I28" i="10"/>
  <c r="J28" i="10"/>
  <c r="K28" i="10"/>
  <c r="L28" i="10"/>
  <c r="D27" i="10"/>
  <c r="E27" i="10"/>
  <c r="F27" i="10"/>
  <c r="G27" i="10"/>
  <c r="H27" i="10"/>
  <c r="I27" i="10"/>
  <c r="J27" i="10"/>
  <c r="K27" i="10"/>
  <c r="L27" i="10"/>
  <c r="C30" i="10"/>
  <c r="C29" i="10"/>
  <c r="C28" i="10"/>
  <c r="C27" i="10"/>
  <c r="D26" i="10"/>
  <c r="E26" i="10"/>
  <c r="F26" i="10"/>
  <c r="G26" i="10"/>
  <c r="H26" i="10"/>
  <c r="I26" i="10"/>
  <c r="J26" i="10"/>
  <c r="K26" i="10"/>
  <c r="L26" i="10"/>
  <c r="C26" i="10"/>
  <c r="D51" i="10"/>
  <c r="E51" i="10"/>
  <c r="F51" i="10"/>
  <c r="G51" i="10"/>
  <c r="H51" i="10"/>
  <c r="I51" i="10"/>
  <c r="J51" i="10"/>
  <c r="K51" i="10"/>
  <c r="L51" i="10"/>
  <c r="D49" i="10"/>
  <c r="E49" i="10"/>
  <c r="F49" i="10"/>
  <c r="G49" i="10"/>
  <c r="H49" i="10"/>
  <c r="I49" i="10"/>
  <c r="J49" i="10"/>
  <c r="K49" i="10"/>
  <c r="L49" i="10"/>
  <c r="D50" i="10" l="1"/>
  <c r="E50" i="10"/>
  <c r="F50" i="10"/>
  <c r="G50" i="10"/>
  <c r="H50" i="10"/>
  <c r="I50" i="10"/>
  <c r="J50" i="10"/>
  <c r="K50" i="10"/>
  <c r="L50" i="10"/>
  <c r="D48" i="10" l="1"/>
  <c r="E48" i="10"/>
  <c r="F48" i="10"/>
  <c r="G48" i="10"/>
  <c r="H48" i="10"/>
  <c r="I48" i="10"/>
  <c r="J48" i="10"/>
  <c r="K48" i="10"/>
  <c r="L48" i="10"/>
  <c r="C48" i="10"/>
  <c r="D47" i="10"/>
  <c r="E47" i="10"/>
  <c r="F47" i="10"/>
  <c r="G47" i="10"/>
  <c r="H47" i="10"/>
  <c r="I47" i="10"/>
  <c r="J47" i="10"/>
  <c r="K47" i="10"/>
  <c r="L47" i="10"/>
  <c r="N48" i="10" l="1"/>
  <c r="O48" i="10"/>
  <c r="D44" i="10"/>
  <c r="E44" i="10"/>
  <c r="F44" i="10"/>
  <c r="G44" i="10"/>
  <c r="H44" i="10"/>
  <c r="I44" i="10"/>
  <c r="J44" i="10"/>
  <c r="K44" i="10"/>
  <c r="L44" i="10"/>
  <c r="C44" i="10"/>
  <c r="D43" i="10"/>
  <c r="E43" i="10"/>
  <c r="F43" i="10"/>
  <c r="G43" i="10"/>
  <c r="H43" i="10"/>
  <c r="I43" i="10"/>
  <c r="J43" i="10"/>
  <c r="K43" i="10"/>
  <c r="L43" i="10"/>
  <c r="D42" i="10"/>
  <c r="E42" i="10"/>
  <c r="F42" i="10"/>
  <c r="G42" i="10"/>
  <c r="H42" i="10"/>
  <c r="I42" i="10"/>
  <c r="J42" i="10"/>
  <c r="K42" i="10"/>
  <c r="L42" i="10"/>
  <c r="D64" i="7"/>
  <c r="E64" i="7"/>
  <c r="F64" i="7"/>
  <c r="G64" i="7"/>
  <c r="H64" i="7"/>
  <c r="I64" i="7"/>
  <c r="J64" i="7"/>
  <c r="K64" i="7"/>
  <c r="L64" i="7"/>
  <c r="C43" i="10"/>
  <c r="C42" i="10"/>
  <c r="D24" i="10"/>
  <c r="E24" i="10"/>
  <c r="F24" i="10"/>
  <c r="G24" i="10"/>
  <c r="H24" i="10"/>
  <c r="I24" i="10"/>
  <c r="J24" i="10"/>
  <c r="K24" i="10"/>
  <c r="L24" i="10"/>
  <c r="C24" i="10"/>
  <c r="D23" i="10"/>
  <c r="E23" i="10"/>
  <c r="F23" i="10"/>
  <c r="G23" i="10"/>
  <c r="H23" i="10"/>
  <c r="I23" i="10"/>
  <c r="J23" i="10"/>
  <c r="K23" i="10"/>
  <c r="L23" i="10"/>
  <c r="D22" i="10"/>
  <c r="E22" i="10"/>
  <c r="F22" i="10"/>
  <c r="G22" i="10"/>
  <c r="H22" i="10"/>
  <c r="I22" i="10"/>
  <c r="J22" i="10"/>
  <c r="K22" i="10"/>
  <c r="L22" i="10"/>
  <c r="C22" i="10"/>
  <c r="D21" i="10"/>
  <c r="E21" i="10"/>
  <c r="F21" i="10"/>
  <c r="G21" i="10"/>
  <c r="H21" i="10"/>
  <c r="I21" i="10"/>
  <c r="J21" i="10"/>
  <c r="K21" i="10"/>
  <c r="L21" i="10"/>
  <c r="D20" i="10"/>
  <c r="E20" i="10"/>
  <c r="F20" i="10"/>
  <c r="G20" i="10"/>
  <c r="H20" i="10"/>
  <c r="I20" i="10"/>
  <c r="J20" i="10"/>
  <c r="K20" i="10"/>
  <c r="L20" i="10"/>
  <c r="C20" i="10"/>
  <c r="D18" i="10"/>
  <c r="E18" i="10"/>
  <c r="F18" i="10"/>
  <c r="G18" i="10"/>
  <c r="H18" i="10"/>
  <c r="I18" i="10"/>
  <c r="J18" i="10"/>
  <c r="K18" i="10"/>
  <c r="L18" i="10"/>
  <c r="C18" i="10"/>
  <c r="D17" i="10"/>
  <c r="E17" i="10"/>
  <c r="F17" i="10"/>
  <c r="G17" i="10"/>
  <c r="H17" i="10"/>
  <c r="I17" i="10"/>
  <c r="J17" i="10"/>
  <c r="K17" i="10"/>
  <c r="L17" i="10"/>
  <c r="D16" i="10"/>
  <c r="E16" i="10"/>
  <c r="F16" i="10"/>
  <c r="G16" i="10"/>
  <c r="H16" i="10"/>
  <c r="I16" i="10"/>
  <c r="J16" i="10"/>
  <c r="K16" i="10"/>
  <c r="L16" i="10"/>
  <c r="C17" i="10"/>
  <c r="C16" i="10"/>
  <c r="F13" i="10"/>
  <c r="G13" i="10"/>
  <c r="H13" i="10"/>
  <c r="I13" i="10"/>
  <c r="J13" i="10"/>
  <c r="K13" i="10"/>
  <c r="L13" i="10"/>
  <c r="D12" i="10"/>
  <c r="E12" i="10"/>
  <c r="F12" i="10"/>
  <c r="G12" i="10"/>
  <c r="H12" i="10"/>
  <c r="I12" i="10"/>
  <c r="J12" i="10"/>
  <c r="K12" i="10"/>
  <c r="L12" i="10"/>
  <c r="C12" i="10"/>
  <c r="D14" i="10"/>
  <c r="E14" i="10"/>
  <c r="F14" i="10"/>
  <c r="G14" i="10"/>
  <c r="H14" i="10"/>
  <c r="I14" i="10"/>
  <c r="J14" i="10"/>
  <c r="K14" i="10"/>
  <c r="L14" i="10"/>
  <c r="C14" i="10"/>
  <c r="D13" i="10"/>
  <c r="E13" i="10"/>
  <c r="C13" i="10"/>
  <c r="D11" i="10"/>
  <c r="E11" i="10"/>
  <c r="F11" i="10"/>
  <c r="G11" i="10"/>
  <c r="H11" i="10"/>
  <c r="I11" i="10"/>
  <c r="J11" i="10"/>
  <c r="K11" i="10"/>
  <c r="L11" i="10"/>
  <c r="C11" i="10"/>
  <c r="D10" i="10"/>
  <c r="E10" i="10"/>
  <c r="F10" i="10"/>
  <c r="G10" i="10"/>
  <c r="H10" i="10"/>
  <c r="I10" i="10"/>
  <c r="J10" i="10"/>
  <c r="K10" i="10"/>
  <c r="L10" i="10"/>
  <c r="C10" i="10"/>
  <c r="E4" i="10" l="1"/>
  <c r="F4" i="10"/>
  <c r="G4" i="10"/>
  <c r="H4" i="10"/>
  <c r="I4" i="10"/>
  <c r="J4" i="10"/>
  <c r="K4" i="10"/>
  <c r="L4" i="10"/>
  <c r="E8" i="10"/>
  <c r="F8" i="10"/>
  <c r="G8" i="10"/>
  <c r="H8" i="10"/>
  <c r="I8" i="10"/>
  <c r="J8" i="10"/>
  <c r="K8" i="10"/>
  <c r="L8" i="10"/>
  <c r="E7" i="10"/>
  <c r="F7" i="10"/>
  <c r="G7" i="10"/>
  <c r="H7" i="10"/>
  <c r="I7" i="10"/>
  <c r="J7" i="10"/>
  <c r="K7" i="10"/>
  <c r="L7" i="10"/>
  <c r="E6" i="10"/>
  <c r="F6" i="10"/>
  <c r="G6" i="10"/>
  <c r="H6" i="10"/>
  <c r="I6" i="10"/>
  <c r="J6" i="10"/>
  <c r="K6" i="10"/>
  <c r="L6" i="10"/>
  <c r="D7" i="10"/>
  <c r="D6" i="10"/>
  <c r="E5" i="10"/>
  <c r="F5" i="10"/>
  <c r="G5" i="10"/>
  <c r="H5" i="10"/>
  <c r="I5" i="10"/>
  <c r="J5" i="10"/>
  <c r="K5" i="10"/>
  <c r="L5" i="10"/>
  <c r="D5" i="10"/>
  <c r="D4" i="10"/>
  <c r="C4" i="10"/>
  <c r="I4" i="7"/>
  <c r="D16" i="7" l="1"/>
  <c r="E16" i="7"/>
  <c r="F16" i="7"/>
  <c r="G16" i="7"/>
  <c r="H16" i="7"/>
  <c r="J16" i="7"/>
  <c r="K16" i="7"/>
  <c r="L16" i="7"/>
  <c r="M16" i="7"/>
  <c r="D3" i="10"/>
  <c r="E3" i="10"/>
  <c r="F3" i="10"/>
  <c r="G3" i="10"/>
  <c r="H3" i="10"/>
  <c r="I3" i="10"/>
  <c r="J3" i="10"/>
  <c r="K3" i="10"/>
  <c r="L3" i="10"/>
  <c r="C3" i="10"/>
  <c r="B2" i="10"/>
  <c r="D62" i="7"/>
  <c r="E62" i="7"/>
  <c r="F62" i="7"/>
  <c r="G62" i="7"/>
  <c r="H62" i="7"/>
  <c r="I62" i="7"/>
  <c r="J62" i="7"/>
  <c r="K62" i="7"/>
  <c r="L62" i="7"/>
  <c r="D59" i="7"/>
  <c r="E59" i="7"/>
  <c r="F59" i="7"/>
  <c r="G59" i="7"/>
  <c r="H59" i="7"/>
  <c r="I59" i="7"/>
  <c r="J59" i="7"/>
  <c r="K59" i="7"/>
  <c r="L59" i="7"/>
  <c r="D60" i="7"/>
  <c r="E60" i="7"/>
  <c r="F60" i="7"/>
  <c r="G60" i="7"/>
  <c r="H60" i="7"/>
  <c r="I60" i="7"/>
  <c r="J60" i="7"/>
  <c r="K60" i="7"/>
  <c r="L60" i="7"/>
  <c r="D61" i="7"/>
  <c r="E61" i="7"/>
  <c r="F61" i="7"/>
  <c r="G61" i="7"/>
  <c r="H61" i="7"/>
  <c r="I61" i="7"/>
  <c r="J61" i="7"/>
  <c r="K61" i="7"/>
  <c r="L61" i="7"/>
  <c r="C60" i="7"/>
  <c r="C61" i="7"/>
  <c r="C62" i="7"/>
  <c r="N100" i="7"/>
  <c r="C71" i="7" l="1"/>
  <c r="D51" i="7" l="1"/>
  <c r="E51" i="7"/>
  <c r="F51" i="7"/>
  <c r="G51" i="7"/>
  <c r="H51" i="7"/>
  <c r="I51" i="7"/>
  <c r="J51" i="7"/>
  <c r="K51" i="7"/>
  <c r="L51" i="7"/>
  <c r="D57" i="7"/>
  <c r="E57" i="7"/>
  <c r="F57" i="7"/>
  <c r="G57" i="7"/>
  <c r="H57" i="7"/>
  <c r="I57" i="7"/>
  <c r="J57" i="7"/>
  <c r="K57" i="7"/>
  <c r="L57" i="7"/>
  <c r="D56" i="7"/>
  <c r="E56" i="7"/>
  <c r="F56" i="7"/>
  <c r="G56" i="7"/>
  <c r="H56" i="7"/>
  <c r="I56" i="7"/>
  <c r="J56" i="7"/>
  <c r="K56" i="7"/>
  <c r="L56" i="7"/>
  <c r="D55" i="7"/>
  <c r="E55" i="7"/>
  <c r="F55" i="7"/>
  <c r="G55" i="7"/>
  <c r="H55" i="7"/>
  <c r="I55" i="7"/>
  <c r="J55" i="7"/>
  <c r="K55" i="7"/>
  <c r="L55" i="7"/>
  <c r="M54" i="7"/>
  <c r="M55" i="7"/>
  <c r="M56" i="7"/>
  <c r="M57" i="7"/>
  <c r="M58" i="7"/>
  <c r="M59" i="7"/>
  <c r="M60" i="7"/>
  <c r="M61" i="7"/>
  <c r="M62" i="7"/>
  <c r="M63" i="7"/>
  <c r="M64" i="7"/>
  <c r="M53" i="7"/>
  <c r="D54" i="7"/>
  <c r="E54" i="7"/>
  <c r="F54" i="7"/>
  <c r="G54" i="7"/>
  <c r="H54" i="7"/>
  <c r="I54" i="7"/>
  <c r="J54" i="7"/>
  <c r="K54" i="7"/>
  <c r="L54" i="7"/>
  <c r="D53" i="7"/>
  <c r="E53" i="7"/>
  <c r="F53" i="7"/>
  <c r="G53" i="7"/>
  <c r="H53" i="7"/>
  <c r="I53" i="7"/>
  <c r="J53" i="7"/>
  <c r="K53" i="7"/>
  <c r="L53" i="7"/>
  <c r="C54" i="7"/>
  <c r="C55" i="7"/>
  <c r="C56" i="7"/>
  <c r="C57" i="7"/>
  <c r="C51" i="7"/>
  <c r="C64" i="7"/>
  <c r="D47" i="7"/>
  <c r="E47" i="7"/>
  <c r="F47" i="7"/>
  <c r="G47" i="7"/>
  <c r="H47" i="7"/>
  <c r="I47" i="7"/>
  <c r="J47" i="7"/>
  <c r="K47" i="7"/>
  <c r="L47" i="7"/>
  <c r="M47" i="7"/>
  <c r="D48" i="7"/>
  <c r="E48" i="7"/>
  <c r="F48" i="7"/>
  <c r="G48" i="7"/>
  <c r="H48" i="7"/>
  <c r="I48" i="7"/>
  <c r="J48" i="7"/>
  <c r="K48" i="7"/>
  <c r="L48" i="7"/>
  <c r="M48" i="7"/>
  <c r="D49" i="7"/>
  <c r="E49" i="7"/>
  <c r="F49" i="7"/>
  <c r="G49" i="7"/>
  <c r="H49" i="7"/>
  <c r="I49" i="7"/>
  <c r="J49" i="7"/>
  <c r="K49" i="7"/>
  <c r="L49" i="7"/>
  <c r="M49" i="7"/>
  <c r="D50" i="7"/>
  <c r="E50" i="7"/>
  <c r="F50" i="7"/>
  <c r="G50" i="7"/>
  <c r="H50" i="7"/>
  <c r="I50" i="7"/>
  <c r="J50" i="7"/>
  <c r="K50" i="7"/>
  <c r="L50" i="7"/>
  <c r="M50" i="7"/>
  <c r="M51" i="7"/>
  <c r="C48" i="7"/>
  <c r="C49" i="7"/>
  <c r="C50" i="7"/>
  <c r="M87" i="7"/>
  <c r="C81" i="7"/>
  <c r="D81" i="7"/>
  <c r="E81" i="7"/>
  <c r="F81" i="7"/>
  <c r="G81" i="7"/>
  <c r="H81" i="7"/>
  <c r="I81" i="7"/>
  <c r="J81" i="7"/>
  <c r="K81" i="7"/>
  <c r="L81" i="7"/>
  <c r="M81" i="7"/>
  <c r="C82" i="7"/>
  <c r="D82" i="7"/>
  <c r="E82" i="7"/>
  <c r="F82" i="7"/>
  <c r="G82" i="7"/>
  <c r="H82" i="7"/>
  <c r="I82" i="7"/>
  <c r="J82" i="7"/>
  <c r="K82" i="7"/>
  <c r="L82" i="7"/>
  <c r="M82" i="7"/>
  <c r="C83" i="7"/>
  <c r="D83" i="7"/>
  <c r="E83" i="7"/>
  <c r="F83" i="7"/>
  <c r="G83" i="7"/>
  <c r="H83" i="7"/>
  <c r="I83" i="7"/>
  <c r="J83" i="7"/>
  <c r="K83" i="7"/>
  <c r="L83" i="7"/>
  <c r="M83" i="7"/>
  <c r="C84" i="7"/>
  <c r="D84" i="7"/>
  <c r="E84" i="7"/>
  <c r="F84" i="7"/>
  <c r="G84" i="7"/>
  <c r="H84" i="7"/>
  <c r="I84" i="7"/>
  <c r="J84" i="7"/>
  <c r="K84" i="7"/>
  <c r="L84" i="7"/>
  <c r="M84" i="7"/>
  <c r="C85" i="7"/>
  <c r="D85" i="7"/>
  <c r="E85" i="7"/>
  <c r="F85" i="7"/>
  <c r="G85" i="7"/>
  <c r="H85" i="7"/>
  <c r="I85" i="7"/>
  <c r="J85" i="7"/>
  <c r="K85" i="7"/>
  <c r="L85" i="7"/>
  <c r="M85" i="7"/>
  <c r="C86" i="7"/>
  <c r="D86" i="7"/>
  <c r="E86" i="7"/>
  <c r="F86" i="7"/>
  <c r="G86" i="7"/>
  <c r="H86" i="7"/>
  <c r="I86" i="7"/>
  <c r="J86" i="7"/>
  <c r="K86" i="7"/>
  <c r="L86" i="7"/>
  <c r="M86" i="7"/>
  <c r="D80" i="7"/>
  <c r="D87" i="7" s="1"/>
  <c r="E80" i="7"/>
  <c r="F80" i="7"/>
  <c r="G80" i="7"/>
  <c r="H80" i="7"/>
  <c r="H87" i="7" s="1"/>
  <c r="I80" i="7"/>
  <c r="J80" i="7"/>
  <c r="K80" i="7"/>
  <c r="L80" i="7"/>
  <c r="L87" i="7" s="1"/>
  <c r="M80" i="7"/>
  <c r="C72" i="7"/>
  <c r="D72" i="7"/>
  <c r="E72" i="7"/>
  <c r="F72" i="7"/>
  <c r="G72" i="7"/>
  <c r="H72" i="7"/>
  <c r="I72" i="7"/>
  <c r="J72" i="7"/>
  <c r="K72" i="7"/>
  <c r="L72" i="7"/>
  <c r="M72" i="7"/>
  <c r="C73" i="7"/>
  <c r="D73" i="7"/>
  <c r="E73" i="7"/>
  <c r="F73" i="7"/>
  <c r="G73" i="7"/>
  <c r="H73" i="7"/>
  <c r="I73" i="7"/>
  <c r="J73" i="7"/>
  <c r="K73" i="7"/>
  <c r="L73" i="7"/>
  <c r="M73" i="7"/>
  <c r="C74" i="7"/>
  <c r="D74" i="7"/>
  <c r="E74" i="7"/>
  <c r="F74" i="7"/>
  <c r="G74" i="7"/>
  <c r="H74" i="7"/>
  <c r="I74" i="7"/>
  <c r="J74" i="7"/>
  <c r="K74" i="7"/>
  <c r="L74" i="7"/>
  <c r="M74" i="7"/>
  <c r="C75" i="7"/>
  <c r="D75" i="7"/>
  <c r="E75" i="7"/>
  <c r="F75" i="7"/>
  <c r="G75" i="7"/>
  <c r="H75" i="7"/>
  <c r="I75" i="7"/>
  <c r="J75" i="7"/>
  <c r="K75" i="7"/>
  <c r="L75" i="7"/>
  <c r="M75" i="7"/>
  <c r="D71" i="7"/>
  <c r="E71" i="7"/>
  <c r="F71" i="7"/>
  <c r="G71" i="7"/>
  <c r="H71" i="7"/>
  <c r="I71" i="7"/>
  <c r="J71" i="7"/>
  <c r="K71" i="7"/>
  <c r="L71" i="7"/>
  <c r="M71" i="7"/>
  <c r="G87" i="7" l="1"/>
  <c r="J87" i="7"/>
  <c r="F87" i="7"/>
  <c r="K87" i="7"/>
  <c r="I87" i="7"/>
  <c r="E87" i="7"/>
  <c r="C91" i="7"/>
  <c r="D91" i="7"/>
  <c r="E91" i="7"/>
  <c r="F91" i="7"/>
  <c r="G91" i="7"/>
  <c r="H91" i="7"/>
  <c r="I91" i="7"/>
  <c r="J91" i="7"/>
  <c r="K91" i="7"/>
  <c r="L91" i="7"/>
  <c r="M91" i="7"/>
  <c r="C92" i="7"/>
  <c r="D92" i="7"/>
  <c r="E92" i="7"/>
  <c r="F92" i="7"/>
  <c r="G92" i="7"/>
  <c r="H92" i="7"/>
  <c r="I92" i="7"/>
  <c r="J92" i="7"/>
  <c r="K92" i="7"/>
  <c r="L92" i="7"/>
  <c r="M92" i="7"/>
  <c r="C93" i="7"/>
  <c r="D93" i="7"/>
  <c r="E93" i="7"/>
  <c r="F93" i="7"/>
  <c r="G93" i="7"/>
  <c r="H93" i="7"/>
  <c r="I93" i="7"/>
  <c r="J93" i="7"/>
  <c r="K93" i="7"/>
  <c r="L93" i="7"/>
  <c r="M93" i="7"/>
  <c r="C94" i="7"/>
  <c r="D94" i="7"/>
  <c r="E94" i="7"/>
  <c r="F94" i="7"/>
  <c r="G94" i="7"/>
  <c r="H94" i="7"/>
  <c r="I94" i="7"/>
  <c r="J94" i="7"/>
  <c r="K94" i="7"/>
  <c r="L94" i="7"/>
  <c r="M94" i="7"/>
  <c r="C95" i="7"/>
  <c r="D95" i="7"/>
  <c r="E95" i="7"/>
  <c r="F95" i="7"/>
  <c r="G95" i="7"/>
  <c r="H95" i="7"/>
  <c r="I95" i="7"/>
  <c r="J95" i="7"/>
  <c r="K95" i="7"/>
  <c r="L95" i="7"/>
  <c r="M95" i="7"/>
  <c r="C96" i="7"/>
  <c r="D96" i="7"/>
  <c r="E96" i="7"/>
  <c r="F96" i="7"/>
  <c r="G96" i="7"/>
  <c r="H96" i="7"/>
  <c r="I96" i="7"/>
  <c r="J96" i="7"/>
  <c r="K96" i="7"/>
  <c r="L96" i="7"/>
  <c r="M96" i="7"/>
  <c r="C97" i="7"/>
  <c r="D97" i="7"/>
  <c r="E97" i="7"/>
  <c r="F97" i="7"/>
  <c r="G97" i="7"/>
  <c r="H97" i="7"/>
  <c r="I97" i="7"/>
  <c r="J97" i="7"/>
  <c r="K97" i="7"/>
  <c r="L97" i="7"/>
  <c r="M97" i="7"/>
  <c r="D90" i="7"/>
  <c r="D98" i="7" s="1"/>
  <c r="E90" i="7"/>
  <c r="F90" i="7"/>
  <c r="G90" i="7"/>
  <c r="H90" i="7"/>
  <c r="H98" i="7" s="1"/>
  <c r="I90" i="7"/>
  <c r="J90" i="7"/>
  <c r="K90" i="7"/>
  <c r="L90" i="7"/>
  <c r="L98" i="7" s="1"/>
  <c r="M90" i="7"/>
  <c r="C90" i="7"/>
  <c r="C80" i="7"/>
  <c r="C87" i="7" s="1"/>
  <c r="D70" i="7"/>
  <c r="D77" i="7" s="1"/>
  <c r="E70" i="7"/>
  <c r="E77" i="7" s="1"/>
  <c r="F70" i="7"/>
  <c r="F77" i="7" s="1"/>
  <c r="G70" i="7"/>
  <c r="G77" i="7" s="1"/>
  <c r="H70" i="7"/>
  <c r="H77" i="7" s="1"/>
  <c r="I70" i="7"/>
  <c r="I77" i="7" s="1"/>
  <c r="J70" i="7"/>
  <c r="J77" i="7" s="1"/>
  <c r="K70" i="7"/>
  <c r="K77" i="7" s="1"/>
  <c r="L70" i="7"/>
  <c r="L77" i="7" s="1"/>
  <c r="M70" i="7"/>
  <c r="M76" i="7"/>
  <c r="C70" i="7"/>
  <c r="C77" i="7" s="1"/>
  <c r="C98" i="7" l="1"/>
  <c r="J98" i="7"/>
  <c r="F98" i="7"/>
  <c r="M77" i="7"/>
  <c r="C39" i="10"/>
  <c r="C37" i="10"/>
  <c r="C38" i="10"/>
  <c r="I39" i="10"/>
  <c r="I37" i="10"/>
  <c r="I38" i="10"/>
  <c r="L39" i="10"/>
  <c r="L37" i="10"/>
  <c r="L38" i="10"/>
  <c r="L100" i="7"/>
  <c r="H39" i="10"/>
  <c r="H37" i="10"/>
  <c r="H38" i="10"/>
  <c r="H100" i="7"/>
  <c r="D39" i="10"/>
  <c r="D37" i="10"/>
  <c r="D38" i="10"/>
  <c r="D100" i="7"/>
  <c r="M98" i="7"/>
  <c r="M100" i="7" s="1"/>
  <c r="I98" i="7"/>
  <c r="I100" i="7" s="1"/>
  <c r="E98" i="7"/>
  <c r="G38" i="10"/>
  <c r="G39" i="10"/>
  <c r="G37" i="10"/>
  <c r="K38" i="10"/>
  <c r="K39" i="10"/>
  <c r="K37" i="10"/>
  <c r="J38" i="10"/>
  <c r="J39" i="10"/>
  <c r="J37" i="10"/>
  <c r="J100" i="7"/>
  <c r="F38" i="10"/>
  <c r="F37" i="10"/>
  <c r="F39" i="10"/>
  <c r="F100" i="7"/>
  <c r="K98" i="7"/>
  <c r="K100" i="7" s="1"/>
  <c r="G98" i="7"/>
  <c r="G100" i="7" s="1"/>
  <c r="E39" i="10"/>
  <c r="E37" i="10"/>
  <c r="E38" i="10"/>
  <c r="E100" i="7"/>
  <c r="C59" i="7"/>
  <c r="N38" i="10" l="1"/>
  <c r="O38" i="10"/>
  <c r="N37" i="10"/>
  <c r="O37" i="10"/>
  <c r="N39" i="10"/>
  <c r="O39" i="10"/>
  <c r="C53" i="7"/>
  <c r="G66" i="7" l="1"/>
  <c r="K66" i="7"/>
  <c r="C47" i="7"/>
  <c r="B60" i="7"/>
  <c r="B56" i="7"/>
  <c r="B55" i="7"/>
  <c r="B54" i="7"/>
  <c r="B50" i="7"/>
  <c r="B49" i="7"/>
  <c r="B48" i="7"/>
  <c r="B47" i="7"/>
  <c r="J66" i="7" l="1"/>
  <c r="F66" i="7"/>
  <c r="C66" i="7"/>
  <c r="M66" i="7"/>
  <c r="I66" i="7"/>
  <c r="E66" i="7"/>
  <c r="L66" i="7"/>
  <c r="H66" i="7"/>
  <c r="D66" i="7"/>
  <c r="G39" i="7" l="1"/>
  <c r="K39" i="7"/>
  <c r="D34" i="7"/>
  <c r="D39" i="7" s="1"/>
  <c r="E34" i="7"/>
  <c r="E39" i="7" s="1"/>
  <c r="F34" i="7"/>
  <c r="F39" i="7" s="1"/>
  <c r="G34" i="7"/>
  <c r="H34" i="7"/>
  <c r="H39" i="7" s="1"/>
  <c r="I34" i="7"/>
  <c r="I39" i="7" s="1"/>
  <c r="J34" i="7"/>
  <c r="J39" i="7" s="1"/>
  <c r="K34" i="7"/>
  <c r="L34" i="7"/>
  <c r="L39" i="7" s="1"/>
  <c r="M34" i="7"/>
  <c r="M39" i="7" s="1"/>
  <c r="M28" i="7"/>
  <c r="D28" i="7"/>
  <c r="E28" i="7"/>
  <c r="F28" i="7"/>
  <c r="G28" i="7"/>
  <c r="H28" i="7"/>
  <c r="I28" i="7"/>
  <c r="J28" i="7"/>
  <c r="K28" i="7"/>
  <c r="L28" i="7"/>
  <c r="C28" i="7"/>
  <c r="D22" i="7"/>
  <c r="E22" i="7"/>
  <c r="F22" i="7"/>
  <c r="G22" i="7"/>
  <c r="H22" i="7"/>
  <c r="I22" i="7"/>
  <c r="J22" i="7"/>
  <c r="K22" i="7"/>
  <c r="L22" i="7"/>
  <c r="M22" i="7"/>
  <c r="C22" i="7"/>
  <c r="M19" i="7"/>
  <c r="D19" i="7"/>
  <c r="E19" i="7"/>
  <c r="F19" i="7"/>
  <c r="G19" i="7"/>
  <c r="H19" i="7"/>
  <c r="I19" i="7"/>
  <c r="J19" i="7"/>
  <c r="K19" i="7"/>
  <c r="L19" i="7"/>
  <c r="C19" i="7"/>
  <c r="C49" i="10" l="1"/>
  <c r="D8" i="10"/>
  <c r="D13" i="7"/>
  <c r="E13" i="7"/>
  <c r="F13" i="7"/>
  <c r="G13" i="7"/>
  <c r="H13" i="7"/>
  <c r="I13" i="7"/>
  <c r="J13" i="7"/>
  <c r="K13" i="7"/>
  <c r="L13" i="7"/>
  <c r="M13" i="7"/>
  <c r="C13" i="7"/>
  <c r="C14" i="7" s="1"/>
  <c r="M7" i="7"/>
  <c r="D7" i="7"/>
  <c r="E7" i="7"/>
  <c r="F7" i="7"/>
  <c r="G7" i="7"/>
  <c r="H7" i="7"/>
  <c r="I7" i="7"/>
  <c r="J7" i="7"/>
  <c r="K7" i="7"/>
  <c r="L7" i="7"/>
  <c r="C7" i="7"/>
  <c r="M4" i="7"/>
  <c r="B1" i="7"/>
  <c r="L4" i="7"/>
  <c r="L10" i="7" s="1"/>
  <c r="K4" i="7"/>
  <c r="J4" i="7"/>
  <c r="H4" i="7"/>
  <c r="G4" i="7"/>
  <c r="F4" i="7"/>
  <c r="E4" i="7"/>
  <c r="E23" i="7" s="1"/>
  <c r="D4" i="7"/>
  <c r="D10" i="7" s="1"/>
  <c r="C4" i="7"/>
  <c r="C20" i="7" s="1"/>
  <c r="K2" i="7"/>
  <c r="L2" i="7"/>
  <c r="J2" i="7"/>
  <c r="D2" i="7"/>
  <c r="E2" i="7"/>
  <c r="F2" i="7"/>
  <c r="G2" i="7"/>
  <c r="H2" i="7"/>
  <c r="I2" i="7"/>
  <c r="C2" i="7"/>
  <c r="O8" i="10" l="1"/>
  <c r="N8" i="10"/>
  <c r="O49" i="10"/>
  <c r="N49" i="10"/>
  <c r="C51" i="10"/>
  <c r="I5" i="7"/>
  <c r="K8" i="7"/>
  <c r="G8" i="7"/>
  <c r="G5" i="7"/>
  <c r="K5" i="7"/>
  <c r="L14" i="7"/>
  <c r="H14" i="7"/>
  <c r="D14" i="7"/>
  <c r="M8" i="7"/>
  <c r="D11" i="7"/>
  <c r="L11" i="7"/>
  <c r="G10" i="7"/>
  <c r="G11" i="7" s="1"/>
  <c r="I20" i="7"/>
  <c r="F20" i="7"/>
  <c r="F5" i="7"/>
  <c r="F23" i="7"/>
  <c r="J10" i="7"/>
  <c r="J20" i="7"/>
  <c r="J5" i="7"/>
  <c r="J23" i="7"/>
  <c r="M10" i="7"/>
  <c r="M5" i="7"/>
  <c r="J8" i="7"/>
  <c r="F8" i="7"/>
  <c r="K14" i="7"/>
  <c r="G14" i="7"/>
  <c r="I23" i="7"/>
  <c r="M20" i="7"/>
  <c r="C10" i="7"/>
  <c r="E8" i="7"/>
  <c r="K10" i="7"/>
  <c r="K11" i="7" s="1"/>
  <c r="J14" i="7"/>
  <c r="F14" i="7"/>
  <c r="G23" i="7"/>
  <c r="M23" i="7"/>
  <c r="G20" i="7"/>
  <c r="E10" i="7"/>
  <c r="E5" i="7"/>
  <c r="I8" i="7"/>
  <c r="D23" i="7"/>
  <c r="D20" i="7"/>
  <c r="H5" i="7"/>
  <c r="H23" i="7"/>
  <c r="H20" i="7"/>
  <c r="L5" i="7"/>
  <c r="L23" i="7"/>
  <c r="L20" i="7"/>
  <c r="L8" i="7"/>
  <c r="H8" i="7"/>
  <c r="D8" i="7"/>
  <c r="H10" i="7"/>
  <c r="M14" i="7"/>
  <c r="I14" i="7"/>
  <c r="E14" i="7"/>
  <c r="K23" i="7"/>
  <c r="E20" i="7"/>
  <c r="K20" i="7"/>
  <c r="D5" i="7"/>
  <c r="F10" i="7"/>
  <c r="C23" i="7"/>
  <c r="I10" i="7"/>
  <c r="I16" i="7" s="1"/>
  <c r="C8" i="7"/>
  <c r="C6" i="3"/>
  <c r="D6" i="3"/>
  <c r="E6" i="3"/>
  <c r="F6" i="3"/>
  <c r="F14" i="3" s="1"/>
  <c r="G6" i="3"/>
  <c r="H6" i="3"/>
  <c r="I6" i="3"/>
  <c r="J6" i="3"/>
  <c r="K6" i="3"/>
  <c r="B6" i="3"/>
  <c r="C5" i="1"/>
  <c r="D5" i="1"/>
  <c r="D6" i="1" s="1"/>
  <c r="D19" i="1" s="1"/>
  <c r="E5" i="1"/>
  <c r="F5" i="1"/>
  <c r="G5" i="1"/>
  <c r="H5" i="1"/>
  <c r="I5" i="1"/>
  <c r="J5" i="1"/>
  <c r="K5" i="1"/>
  <c r="B5" i="1"/>
  <c r="G13" i="1"/>
  <c r="G14" i="1" s="1"/>
  <c r="B6" i="6"/>
  <c r="C17" i="2"/>
  <c r="C20" i="2" s="1"/>
  <c r="D17" i="2"/>
  <c r="E17" i="2"/>
  <c r="F17" i="2"/>
  <c r="G17" i="2"/>
  <c r="H17" i="2"/>
  <c r="I17" i="2"/>
  <c r="J17" i="2"/>
  <c r="K17" i="2"/>
  <c r="K20" i="2" s="1"/>
  <c r="C18" i="2"/>
  <c r="D18" i="2"/>
  <c r="E18" i="2"/>
  <c r="F18" i="2"/>
  <c r="F21" i="2" s="1"/>
  <c r="G18" i="2"/>
  <c r="H18" i="2"/>
  <c r="I18" i="2"/>
  <c r="J18" i="2"/>
  <c r="J21" i="2" s="1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K23" i="2" s="1"/>
  <c r="C5" i="2"/>
  <c r="D5" i="2"/>
  <c r="F5" i="2"/>
  <c r="G5" i="2"/>
  <c r="G23" i="2" s="1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F16" i="2" s="1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H4" i="3"/>
  <c r="I4" i="3"/>
  <c r="L4" i="1" s="1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K11" i="3"/>
  <c r="L11" i="1" s="1"/>
  <c r="C12" i="3"/>
  <c r="D12" i="3"/>
  <c r="E12" i="3"/>
  <c r="F12" i="3"/>
  <c r="G12" i="3"/>
  <c r="H12" i="3"/>
  <c r="I12" i="3"/>
  <c r="J12" i="3"/>
  <c r="L12" i="1" s="1"/>
  <c r="L13" i="1" s="1"/>
  <c r="L14" i="1" s="1"/>
  <c r="L25" i="1" s="1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L23" i="1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H12" i="1"/>
  <c r="H13" i="1" s="1"/>
  <c r="I12" i="1"/>
  <c r="J12" i="1"/>
  <c r="J13" i="1" s="1"/>
  <c r="J14" i="1" s="1"/>
  <c r="K12" i="1"/>
  <c r="K13" i="1" s="1"/>
  <c r="C15" i="1"/>
  <c r="D15" i="1"/>
  <c r="E15" i="1"/>
  <c r="F15" i="1"/>
  <c r="F14" i="1" s="1"/>
  <c r="G15" i="1"/>
  <c r="H15" i="1"/>
  <c r="I15" i="1"/>
  <c r="J15" i="1"/>
  <c r="K15" i="1"/>
  <c r="B15" i="1"/>
  <c r="I13" i="1"/>
  <c r="B7" i="1"/>
  <c r="B4" i="1"/>
  <c r="B20" i="2" s="1"/>
  <c r="A1" i="1"/>
  <c r="E1" i="6"/>
  <c r="H1" i="1" s="1"/>
  <c r="H16" i="2"/>
  <c r="D16" i="2"/>
  <c r="C23" i="2"/>
  <c r="K16" i="2"/>
  <c r="B23" i="2"/>
  <c r="E6" i="1"/>
  <c r="E19" i="1"/>
  <c r="D23" i="2"/>
  <c r="I6" i="1"/>
  <c r="I19" i="1" s="1"/>
  <c r="K6" i="1"/>
  <c r="K19" i="1" s="1"/>
  <c r="G6" i="1"/>
  <c r="G19" i="1" s="1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I21" i="2"/>
  <c r="H21" i="2"/>
  <c r="G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G14" i="3"/>
  <c r="G20" i="2"/>
  <c r="D20" i="2"/>
  <c r="E20" i="2"/>
  <c r="L6" i="1"/>
  <c r="A1" i="3"/>
  <c r="A1" i="2"/>
  <c r="A1" i="4"/>
  <c r="H23" i="1"/>
  <c r="I23" i="1"/>
  <c r="J23" i="1"/>
  <c r="N51" i="10" l="1"/>
  <c r="O51" i="10"/>
  <c r="G17" i="7"/>
  <c r="G25" i="7"/>
  <c r="H11" i="7"/>
  <c r="L17" i="7"/>
  <c r="L25" i="7"/>
  <c r="F11" i="7"/>
  <c r="E11" i="7"/>
  <c r="C11" i="7"/>
  <c r="M11" i="7"/>
  <c r="J11" i="7"/>
  <c r="I11" i="7"/>
  <c r="D17" i="7"/>
  <c r="D25" i="7"/>
  <c r="K14" i="1"/>
  <c r="C14" i="1"/>
  <c r="N11" i="1"/>
  <c r="M11" i="1"/>
  <c r="E24" i="2"/>
  <c r="D13" i="1"/>
  <c r="E13" i="1" s="1"/>
  <c r="E14" i="1" s="1"/>
  <c r="I25" i="1" s="1"/>
  <c r="B6" i="1"/>
  <c r="B19" i="1" s="1"/>
  <c r="H23" i="2"/>
  <c r="K24" i="1"/>
  <c r="L9" i="1"/>
  <c r="N9" i="1" s="1"/>
  <c r="L8" i="1"/>
  <c r="N8" i="1" s="1"/>
  <c r="L7" i="1"/>
  <c r="J23" i="2"/>
  <c r="J24" i="2"/>
  <c r="D24" i="2"/>
  <c r="H14" i="1"/>
  <c r="G24" i="2"/>
  <c r="J20" i="2"/>
  <c r="I14" i="3"/>
  <c r="J6" i="1"/>
  <c r="J19" i="1" s="1"/>
  <c r="F23" i="2"/>
  <c r="E1" i="3"/>
  <c r="B14" i="1"/>
  <c r="I16" i="2"/>
  <c r="K24" i="2"/>
  <c r="I24" i="2"/>
  <c r="L19" i="1"/>
  <c r="L24" i="1" s="1"/>
  <c r="E1" i="2"/>
  <c r="I14" i="1"/>
  <c r="K25" i="1" s="1"/>
  <c r="M25" i="1" s="1"/>
  <c r="M14" i="1" s="1"/>
  <c r="C24" i="2"/>
  <c r="I23" i="2"/>
  <c r="H24" i="2"/>
  <c r="F24" i="2"/>
  <c r="J25" i="1"/>
  <c r="M24" i="1"/>
  <c r="M9" i="1"/>
  <c r="N23" i="1"/>
  <c r="N4" i="1" s="1"/>
  <c r="I20" i="2"/>
  <c r="J24" i="1"/>
  <c r="H20" i="2"/>
  <c r="K23" i="1"/>
  <c r="M23" i="1" s="1"/>
  <c r="M4" i="1" s="1"/>
  <c r="H6" i="1"/>
  <c r="H19" i="1" s="1"/>
  <c r="F6" i="1"/>
  <c r="F19" i="1" s="1"/>
  <c r="H24" i="1" s="1"/>
  <c r="E1" i="4"/>
  <c r="L26" i="7" l="1"/>
  <c r="L31" i="7"/>
  <c r="L29" i="7"/>
  <c r="G31" i="7"/>
  <c r="G26" i="7"/>
  <c r="G29" i="7"/>
  <c r="D31" i="7"/>
  <c r="D26" i="7"/>
  <c r="D29" i="7"/>
  <c r="J25" i="7"/>
  <c r="J17" i="7"/>
  <c r="C17" i="7"/>
  <c r="C25" i="7"/>
  <c r="F17" i="7"/>
  <c r="F25" i="7"/>
  <c r="H17" i="7"/>
  <c r="H25" i="7"/>
  <c r="I17" i="7"/>
  <c r="I25" i="7"/>
  <c r="M25" i="7"/>
  <c r="M17" i="7"/>
  <c r="E17" i="7"/>
  <c r="E25" i="7"/>
  <c r="K17" i="7"/>
  <c r="K25" i="7"/>
  <c r="H25" i="1"/>
  <c r="N25" i="1" s="1"/>
  <c r="N14" i="1" s="1"/>
  <c r="M8" i="1"/>
  <c r="I24" i="1"/>
  <c r="N24" i="1" s="1"/>
  <c r="N6" i="1" s="1"/>
  <c r="D14" i="1"/>
  <c r="M6" i="1"/>
  <c r="M10" i="1" s="1"/>
  <c r="M12" i="1" s="1"/>
  <c r="M13" i="1" s="1"/>
  <c r="M15" i="1" s="1"/>
  <c r="G36" i="7" l="1"/>
  <c r="G32" i="7"/>
  <c r="D32" i="7"/>
  <c r="D36" i="7"/>
  <c r="L32" i="7"/>
  <c r="L36" i="7"/>
  <c r="E26" i="7"/>
  <c r="E31" i="7"/>
  <c r="E29" i="7"/>
  <c r="I26" i="7"/>
  <c r="I31" i="7"/>
  <c r="I29" i="7"/>
  <c r="F31" i="7"/>
  <c r="F26" i="7"/>
  <c r="F29" i="7"/>
  <c r="J31" i="7"/>
  <c r="J26" i="7"/>
  <c r="J29" i="7"/>
  <c r="M31" i="7"/>
  <c r="M26" i="7"/>
  <c r="M29" i="7"/>
  <c r="K26" i="7"/>
  <c r="K31" i="7"/>
  <c r="K29" i="7"/>
  <c r="H26" i="7"/>
  <c r="H31" i="7"/>
  <c r="H29" i="7"/>
  <c r="C31" i="7"/>
  <c r="C26" i="7"/>
  <c r="N10" i="1"/>
  <c r="N12" i="1" s="1"/>
  <c r="N13" i="1" s="1"/>
  <c r="N15" i="1" s="1"/>
  <c r="N5" i="1"/>
  <c r="M5" i="1"/>
  <c r="D41" i="7" l="1"/>
  <c r="D43" i="7" s="1"/>
  <c r="L41" i="7"/>
  <c r="L43" i="7" s="1"/>
  <c r="G41" i="7"/>
  <c r="G43" i="7" s="1"/>
  <c r="C32" i="7"/>
  <c r="C36" i="7"/>
  <c r="J36" i="7"/>
  <c r="J32" i="7"/>
  <c r="E32" i="7"/>
  <c r="E36" i="7"/>
  <c r="K36" i="7"/>
  <c r="L37" i="7" s="1"/>
  <c r="K32" i="7"/>
  <c r="M32" i="7"/>
  <c r="M36" i="7"/>
  <c r="I32" i="7"/>
  <c r="I36" i="7"/>
  <c r="H32" i="7"/>
  <c r="H36" i="7"/>
  <c r="F36" i="7"/>
  <c r="G37" i="7" s="1"/>
  <c r="F32" i="7"/>
  <c r="N4" i="12" l="1" a="1"/>
  <c r="C47" i="10"/>
  <c r="M41" i="7"/>
  <c r="M43" i="7" s="1"/>
  <c r="M37" i="7"/>
  <c r="H41" i="7"/>
  <c r="H43" i="7" s="1"/>
  <c r="H37" i="7"/>
  <c r="E41" i="7"/>
  <c r="E43" i="7" s="1"/>
  <c r="E37" i="7"/>
  <c r="I41" i="7"/>
  <c r="I43" i="7" s="1"/>
  <c r="I37" i="7"/>
  <c r="D37" i="7"/>
  <c r="F41" i="7"/>
  <c r="F43" i="7" s="1"/>
  <c r="F37" i="7"/>
  <c r="K41" i="7"/>
  <c r="K43" i="7" s="1"/>
  <c r="K37" i="7"/>
  <c r="J41" i="7"/>
  <c r="J43" i="7" s="1"/>
  <c r="J37" i="7"/>
  <c r="N4" i="12" l="1"/>
  <c r="N7" i="12"/>
  <c r="N9" i="12"/>
  <c r="O9" i="12" s="1"/>
  <c r="N11" i="12"/>
  <c r="O11" i="12" s="1"/>
  <c r="N8" i="12"/>
  <c r="N10" i="12"/>
  <c r="N5" i="12"/>
  <c r="O5" i="12" s="1"/>
  <c r="N6" i="12"/>
  <c r="O6" i="12" s="1"/>
  <c r="N12" i="12"/>
  <c r="N13" i="12"/>
  <c r="O13" i="12" s="1"/>
  <c r="N47" i="10"/>
  <c r="O47" i="10"/>
  <c r="C43" i="7"/>
  <c r="C21" i="10" s="1"/>
  <c r="C50" i="10"/>
  <c r="O10" i="12" l="1"/>
  <c r="N50" i="10"/>
  <c r="O50" i="10"/>
  <c r="O7" i="12"/>
  <c r="N21" i="10"/>
  <c r="O21" i="10"/>
  <c r="C23" i="10"/>
  <c r="O12" i="12"/>
  <c r="O8" i="12"/>
  <c r="N16" i="12"/>
  <c r="N14" i="12"/>
  <c r="O14" i="12" s="1"/>
  <c r="N18" i="12"/>
  <c r="N17" i="12"/>
  <c r="N15" i="12"/>
  <c r="O15" i="12" s="1"/>
  <c r="N19" i="12"/>
  <c r="O19" i="12" l="1"/>
  <c r="O23" i="10"/>
  <c r="N23" i="10"/>
  <c r="O18" i="12"/>
  <c r="O17" i="12"/>
  <c r="O16" i="12"/>
</calcChain>
</file>

<file path=xl/sharedStrings.xml><?xml version="1.0" encoding="utf-8"?>
<sst xmlns="http://schemas.openxmlformats.org/spreadsheetml/2006/main" count="505" uniqueCount="364">
  <si>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</si>
  <si>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</si>
  <si>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</si>
  <si>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</si>
  <si>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</si>
  <si>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</si>
  <si>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</si>
  <si>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</si>
  <si>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</si>
  <si>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</si>
  <si>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</si>
  <si>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</si>
  <si>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</si>
  <si>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</si>
  <si>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</si>
  <si>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</si>
  <si>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</si>
  <si>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</si>
  <si>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</si>
  <si>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</si>
  <si>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</si>
  <si>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</si>
  <si>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</si>
  <si>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</si>
  <si>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</si>
  <si>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</si>
  <si>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</si>
  <si>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</si>
  <si>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</si>
  <si>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</si>
  <si>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</si>
  <si>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</si>
  <si>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</si>
  <si>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</si>
  <si>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</si>
  <si>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</si>
  <si>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</si>
  <si>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</si>
  <si>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</si>
  <si>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</si>
  <si>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</si>
  <si>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</si>
  <si>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</si>
  <si>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</si>
  <si>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</si>
  <si>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</si>
  <si>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</si>
  <si>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</si>
  <si>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</si>
  <si>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</si>
  <si>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</si>
  <si>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</si>
  <si>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</si>
  <si>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</si>
  <si>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</si>
  <si>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</si>
  <si>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</si>
  <si>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</si>
  <si>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</si>
  <si>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</si>
  <si>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</si>
  <si>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</si>
  <si>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</si>
  <si>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</si>
  <si>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</si>
  <si>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</si>
  <si>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</si>
  <si>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</si>
  <si>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</si>
  <si>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</si>
  <si>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</si>
  <si>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</si>
  <si>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</si>
  <si>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</si>
  <si>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</si>
  <si>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</si>
  <si>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</si>
  <si>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</si>
  <si>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</si>
  <si>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</si>
  <si>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</si>
  <si>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</si>
  <si>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</si>
  <si>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</si>
  <si>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</si>
  <si>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</si>
  <si>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</si>
  <si>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</si>
  <si>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</si>
  <si>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</si>
  <si>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</si>
  <si>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</si>
  <si>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</si>
  <si>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</t>
  </si>
  <si>
    <t>LTM</t>
  </si>
  <si>
    <t>INCOME STATEMENT</t>
  </si>
  <si>
    <t>Salas</t>
  </si>
  <si>
    <t>salas Growth</t>
  </si>
  <si>
    <t>-</t>
  </si>
  <si>
    <t>COGS</t>
  </si>
  <si>
    <t>COGS % Salas</t>
  </si>
  <si>
    <t>GROSS PROFIT</t>
  </si>
  <si>
    <t>SELLING &amp; GENEREAL EXP</t>
  </si>
  <si>
    <t>S&amp;A Exp % Salas</t>
  </si>
  <si>
    <t>EBIDA</t>
  </si>
  <si>
    <t xml:space="preserve">EBIDA % Salas </t>
  </si>
  <si>
    <t>INTEREST</t>
  </si>
  <si>
    <t>Interest % Salas</t>
  </si>
  <si>
    <t>Depreciation % Salas</t>
  </si>
  <si>
    <t>Gross Margin</t>
  </si>
  <si>
    <t>Earning Before Taxes</t>
  </si>
  <si>
    <t>EBT % Salas</t>
  </si>
  <si>
    <t>TAX</t>
  </si>
  <si>
    <t>Effectiv tax Rate</t>
  </si>
  <si>
    <t>Net Profit</t>
  </si>
  <si>
    <t>Net Margin</t>
  </si>
  <si>
    <t>No.of Equity Shares</t>
  </si>
  <si>
    <t>Dividend Per Shares</t>
  </si>
  <si>
    <t>Dividend Pay Out Ratio</t>
  </si>
  <si>
    <t>EPS Growth %</t>
  </si>
  <si>
    <t>Retained Earnings</t>
  </si>
  <si>
    <t>Balance Sheet</t>
  </si>
  <si>
    <t>#</t>
  </si>
  <si>
    <t>Total Liabilities</t>
  </si>
  <si>
    <t xml:space="preserve">Fixed Asset Net Block </t>
  </si>
  <si>
    <t>Total Non Current Assets</t>
  </si>
  <si>
    <t>Cash and Bank</t>
  </si>
  <si>
    <t>Total Current Assets</t>
  </si>
  <si>
    <t>Total Assets</t>
  </si>
  <si>
    <t>Profit from operations</t>
  </si>
  <si>
    <t>Payables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</si>
  <si>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</si>
  <si>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</si>
  <si>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</si>
  <si>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</si>
  <si>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</si>
  <si>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</si>
  <si>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</si>
  <si>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</si>
  <si>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</si>
  <si>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</si>
  <si>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</si>
  <si>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</si>
  <si>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</si>
  <si>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</si>
  <si>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</si>
  <si>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Share application money</t>
  </si>
  <si>
    <t>Other financing items</t>
  </si>
  <si>
    <t>CHECK</t>
  </si>
  <si>
    <t>CASH FLOW STATEMENT</t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</si>
  <si>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</si>
  <si>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</si>
  <si>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</si>
  <si>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Operating Activity</t>
  </si>
  <si>
    <t>other opration item</t>
  </si>
  <si>
    <t>Investing Activity</t>
  </si>
  <si>
    <t>Financing Activity</t>
  </si>
  <si>
    <t>YEARS</t>
  </si>
  <si>
    <t>Trend</t>
  </si>
  <si>
    <t>Mean</t>
  </si>
  <si>
    <t>Median</t>
  </si>
  <si>
    <t>EBIDTA Growth</t>
  </si>
  <si>
    <t>EBT Growth</t>
  </si>
  <si>
    <t>Net profit Growth</t>
  </si>
  <si>
    <t>Dividend Growth</t>
  </si>
  <si>
    <t xml:space="preserve">Gross Margin </t>
  </si>
  <si>
    <t>EBIDTA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</si>
  <si>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</si>
  <si>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</si>
  <si>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</si>
  <si>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</si>
  <si>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</si>
  <si>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</si>
  <si>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</si>
  <si>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 %</t>
  </si>
  <si>
    <t>Return on Equity %</t>
  </si>
  <si>
    <t>Self Sustained Growth Rate</t>
  </si>
  <si>
    <t>Interest Coverage Ratio</t>
  </si>
  <si>
    <t>Debtor Turnover Ratio</t>
  </si>
  <si>
    <t>Creditor Turnover Rtaio</t>
  </si>
  <si>
    <t>Fixed Asset Turnover</t>
  </si>
  <si>
    <t>Capital Turnover</t>
  </si>
  <si>
    <t>Payable Days</t>
  </si>
  <si>
    <t>Inventory Days</t>
  </si>
  <si>
    <t>Cash Conversion Cycle</t>
  </si>
  <si>
    <t>CFO/Sales</t>
  </si>
  <si>
    <t>CFO/Total Assets</t>
  </si>
  <si>
    <t>CFO/Total Debt</t>
  </si>
  <si>
    <t>RETURN ON ASSETS</t>
  </si>
  <si>
    <t>PAT vs Total Assets</t>
  </si>
  <si>
    <t>EBIT vs Total Assets</t>
  </si>
  <si>
    <t>PAT after Tax benefit vs Total Assets</t>
  </si>
  <si>
    <t>RETURN ON EQUITY</t>
  </si>
  <si>
    <t>Cash Flor Earning Per Share</t>
  </si>
  <si>
    <t>Dividened Per Share</t>
  </si>
  <si>
    <t>Dividend Yield Ratio</t>
  </si>
  <si>
    <t xml:space="preserve">  </t>
  </si>
  <si>
    <t>Year Weight</t>
  </si>
  <si>
    <t>Year</t>
  </si>
  <si>
    <t>Salas Growth</t>
  </si>
  <si>
    <t xml:space="preserve">Salas </t>
  </si>
  <si>
    <t>Weighted Average Cost of Capital</t>
  </si>
  <si>
    <t>All figures are in INR unless otherwise stated</t>
  </si>
  <si>
    <t>Peer Company</t>
  </si>
  <si>
    <t>Debt/</t>
  </si>
  <si>
    <t>Levered</t>
  </si>
  <si>
    <t>Unlevered</t>
  </si>
  <si>
    <t>Name of the Comp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</si>
  <si>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</si>
  <si>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</si>
  <si>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</si>
  <si>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</si>
  <si>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Equity</t>
  </si>
  <si>
    <t>Capital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</si>
  <si>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</si>
  <si>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</si>
  <si>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Avenue Super.</t>
  </si>
  <si>
    <t>India</t>
  </si>
  <si>
    <t>Trent</t>
  </si>
  <si>
    <t>Vedant Fashions</t>
  </si>
  <si>
    <t>Aditya Bir. Fas.</t>
  </si>
  <si>
    <t>Redtape</t>
  </si>
  <si>
    <t>Averages</t>
  </si>
  <si>
    <t>Medaian</t>
  </si>
  <si>
    <t>Cost of Debt</t>
  </si>
  <si>
    <t>Cost of Equity</t>
  </si>
  <si>
    <t>Pre-Tax Cost of debt</t>
  </si>
  <si>
    <t>Risk Free Rate</t>
  </si>
  <si>
    <t>Tax Rat</t>
  </si>
  <si>
    <t>Equity Risk Premium</t>
  </si>
  <si>
    <t>Poat Tax Cost Debt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</si>
  <si>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</si>
  <si>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</si>
  <si>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>Levered Beta</t>
  </si>
  <si>
    <t>Current</t>
  </si>
  <si>
    <t>Target</t>
  </si>
  <si>
    <t>Comes Median Unliverd Beta</t>
  </si>
  <si>
    <t>Target Debt/Equity</t>
  </si>
  <si>
    <t xml:space="preserve">Market Capitalization </t>
  </si>
  <si>
    <t>Total Capital</t>
  </si>
  <si>
    <t>Debt/Equity</t>
  </si>
  <si>
    <t>Total Cost</t>
  </si>
  <si>
    <t>Total Weight</t>
  </si>
  <si>
    <t>Debt</t>
  </si>
  <si>
    <t>Notes:-</t>
  </si>
  <si>
    <t>1. Tax Rate considered as Marginal Tax Rate for the Country</t>
  </si>
  <si>
    <t>Weight Average Cost of Capital</t>
  </si>
  <si>
    <t>2. Levered Beta is based on 5 years monthly data</t>
  </si>
  <si>
    <t xml:space="preserve">3.Unlevered Beta = Levered Beta/(1+(1-Tax Rate)*Debt/Equity) </t>
  </si>
  <si>
    <t xml:space="preserve">4.Levered Beta = Unlevered Beta*(1+(1-Tax Rate)*Debt/Equity) </t>
  </si>
  <si>
    <t>REGEERESSION BETA</t>
  </si>
  <si>
    <t>Avenue Supermart Weekely Return</t>
  </si>
  <si>
    <t>Nifty Return</t>
  </si>
  <si>
    <t>Beta Drifting</t>
  </si>
  <si>
    <t>Date</t>
  </si>
  <si>
    <t xml:space="preserve">Closing Price </t>
  </si>
  <si>
    <t>Weekely Return</t>
  </si>
  <si>
    <t>Levered Raw Beta</t>
  </si>
  <si>
    <t>Beta Weught</t>
  </si>
  <si>
    <t xml:space="preserve">Market Beta </t>
  </si>
  <si>
    <t>Market Beta Weight</t>
  </si>
  <si>
    <t>Beta 1</t>
  </si>
  <si>
    <t xml:space="preserve">Beta 2 </t>
  </si>
  <si>
    <t>Adjusted Beta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</si>
  <si>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</si>
  <si>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</si>
  <si>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</si>
  <si>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</si>
  <si>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</si>
  <si>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</si>
  <si>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</si>
  <si>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</si>
  <si>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</si>
  <si>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</si>
  <si>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</si>
  <si>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</si>
  <si>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</si>
  <si>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</si>
  <si>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</si>
  <si>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</si>
  <si>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</si>
  <si>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</si>
  <si>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</si>
  <si>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</si>
  <si>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</si>
  <si>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</si>
  <si>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</si>
  <si>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</si>
  <si>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</si>
  <si>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Calculation of PV of FCFF</t>
  </si>
  <si>
    <t>EBIT</t>
  </si>
  <si>
    <t>Tax Rate</t>
  </si>
  <si>
    <t>EBIT(1-T)</t>
  </si>
  <si>
    <t>Less:- Reinvestment Rate</t>
  </si>
  <si>
    <t>Free Cash Flow to Firm (FCFF)</t>
  </si>
  <si>
    <t>Mid Year Convention</t>
  </si>
  <si>
    <t>Discounting Factor</t>
  </si>
  <si>
    <t>PV of FCFF</t>
  </si>
  <si>
    <t>Expected Growth</t>
  </si>
  <si>
    <t>Terminal Growth</t>
  </si>
  <si>
    <t>WACC</t>
  </si>
  <si>
    <t>Calculation of Terminal Value</t>
  </si>
  <si>
    <t>FCFF(n+1)</t>
  </si>
  <si>
    <t>Terminal Growth Rate</t>
  </si>
  <si>
    <t>Terminal Value</t>
  </si>
  <si>
    <t>Calculation of Equity Value Per Share</t>
  </si>
  <si>
    <t>PV of Terminal Value</t>
  </si>
  <si>
    <t>Value of Operating Assets</t>
  </si>
  <si>
    <t>Add: CASH</t>
  </si>
  <si>
    <t>Less:- DEBT</t>
  </si>
  <si>
    <t>Value of Equity</t>
  </si>
  <si>
    <t>NO. of Shares</t>
  </si>
  <si>
    <t>Euity Value Per Share</t>
  </si>
  <si>
    <t xml:space="preserve">Share Price </t>
  </si>
  <si>
    <t>Discount/Premium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</si>
  <si>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</si>
  <si>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</si>
  <si>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</si>
  <si>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</si>
  <si>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</si>
  <si>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</si>
  <si>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</si>
  <si>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</si>
  <si>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Other liability items</t>
  </si>
  <si>
    <t>Land</t>
  </si>
  <si>
    <t>Building</t>
  </si>
  <si>
    <t>Plant Machinery</t>
  </si>
  <si>
    <t>Ships Vessels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</si>
  <si>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</si>
  <si>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</si>
  <si>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</si>
  <si>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</si>
  <si>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</si>
  <si>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</si>
  <si>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</si>
  <si>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</si>
  <si>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</si>
  <si>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</si>
  <si>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</si>
  <si>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</si>
  <si>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</si>
  <si>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</si>
  <si>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Particular</t>
  </si>
  <si>
    <t xml:space="preserve">Other Liabilities </t>
  </si>
  <si>
    <t>Fixed Assrts</t>
  </si>
  <si>
    <t>Current Liabilities</t>
  </si>
  <si>
    <t>Total Current Liabilities</t>
  </si>
  <si>
    <t>Invested Capital</t>
  </si>
  <si>
    <t>ROIC</t>
  </si>
  <si>
    <t>Calculation of Reinvestment Rate</t>
  </si>
  <si>
    <t>Net Capex</t>
  </si>
  <si>
    <t>Change in Working Capital</t>
  </si>
  <si>
    <t>EBIT(1-TAX)</t>
  </si>
  <si>
    <t>Reinvestment</t>
  </si>
  <si>
    <t>Reinvestment Rate</t>
  </si>
  <si>
    <t>Intrisic Growth</t>
  </si>
  <si>
    <t xml:space="preserve">Calculation of ROC </t>
  </si>
  <si>
    <t>Current Assets</t>
  </si>
  <si>
    <t>Net working Capital</t>
  </si>
  <si>
    <t>Non Current Assets</t>
  </si>
  <si>
    <t xml:space="preserve">Net Non Current Assets </t>
  </si>
  <si>
    <t>Calculation of ROC</t>
  </si>
  <si>
    <t>Mar-25A</t>
  </si>
  <si>
    <t>4 Year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</si>
</sst>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7" formatCode="&quot;₹&quot;\ #,##0.00;&quot;₹&quot;\ \-#,##0.00"/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_ &quot;₹&quot;\ * #,##0.00_ ;_ \(&quot;₹&quot;\ * #,##0.00\)_ ;_ &quot;₹&quot;\ * &quot;-&quot;??_ ;_ @_ "/>
    <numFmt numFmtId="167" formatCode="0.00&quot;x&quot;"/>
    <numFmt numFmtId="168" formatCode="0\ &quot;days&quot;"/>
    <numFmt numFmtId="169" formatCode="0.00\x"/>
    <numFmt numFmtId="170" formatCode="0&quot;A&quot;"/>
    <numFmt numFmtId="171" formatCode="0&quot;E&quot;"/>
    <numFmt numFmtId="172" formatCode="#,##0.0"/>
    <numFmt numFmtId="173" formatCode="0.0"/>
    <numFmt numFmtId="174" formatCode="0.0%"/>
    <numFmt numFmtId="175" formatCode="mmm/yy&quot;A&quot;"/>
    <numFmt numFmtId="176" formatCode="0.000"/>
    <numFmt numFmtId="177" formatCode="#,##0.0;\(#,##0.0\);\-"/>
    <numFmt numFmtId="178" formatCode="mmm/yy&quot;E&quot;"/>
    <numFmt numFmtId="179" formatCode="0.000000000000000%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b/>
      <sz val="14"/>
      <color theme="1"/>
      <name val="Calibri"/>
      <family val="2"/>
    </font>
    <font>
      <i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3333FF"/>
      <name val="calibri"/>
      <family val="2"/>
    </font>
    <font>
      <sz val="11"/>
      <color rgb="FF0066FF"/>
      <name val="Calibri"/>
      <family val="2"/>
    </font>
    <font>
      <i/>
      <sz val="9"/>
      <color theme="1"/>
      <name val="Calibri"/>
      <family val="2"/>
      <scheme val="minor"/>
    </font>
    <font>
      <b/>
      <sz val="11"/>
      <color rgb="FF22222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18">
    <border>
      <left/>
      <right/>
      <top/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2060"/>
      </top>
      <bottom style="thick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002060"/>
      </top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11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1" fillId="0" borderId="0" xfId="0" applyFont="1"/>
    <xf numFmtId="8" fontId="1" fillId="0" borderId="0" xfId="0" applyNumberFormat="1" applyFont="1"/>
    <xf numFmtId="0" fontId="11" fillId="0" borderId="0" xfId="0" applyFont="1"/>
    <xf numFmtId="9" fontId="0" fillId="0" borderId="0" xfId="0" applyNumberFormat="1"/>
    <xf numFmtId="10" fontId="0" fillId="0" borderId="0" xfId="0" applyNumberFormat="1"/>
    <xf numFmtId="9" fontId="12" fillId="0" borderId="0" xfId="6" applyFont="1"/>
    <xf numFmtId="9" fontId="1" fillId="0" borderId="0" xfId="0" applyNumberFormat="1" applyFont="1"/>
    <xf numFmtId="10" fontId="10" fillId="0" borderId="0" xfId="0" applyNumberFormat="1" applyFont="1"/>
    <xf numFmtId="0" fontId="2" fillId="6" borderId="0" xfId="0" applyFont="1" applyFill="1" applyAlignment="1">
      <alignment horizontal="right"/>
    </xf>
    <xf numFmtId="10" fontId="12" fillId="0" borderId="0" xfId="6" applyNumberFormat="1" applyFont="1"/>
    <xf numFmtId="0" fontId="2" fillId="6" borderId="0" xfId="0" applyFont="1" applyFill="1" applyAlignment="1"/>
    <xf numFmtId="17" fontId="2" fillId="6" borderId="0" xfId="0" applyNumberFormat="1" applyFont="1" applyFill="1" applyAlignment="1"/>
    <xf numFmtId="0" fontId="0" fillId="8" borderId="0" xfId="0" applyFill="1"/>
    <xf numFmtId="17" fontId="0" fillId="0" borderId="0" xfId="0" applyNumberFormat="1"/>
    <xf numFmtId="17" fontId="1" fillId="0" borderId="0" xfId="0" applyNumberFormat="1" applyFont="1"/>
    <xf numFmtId="3" fontId="0" fillId="0" borderId="0" xfId="0" applyNumberFormat="1"/>
    <xf numFmtId="0" fontId="14" fillId="0" borderId="0" xfId="0" applyFont="1"/>
    <xf numFmtId="0" fontId="0" fillId="9" borderId="0" xfId="0" applyFill="1"/>
    <xf numFmtId="0" fontId="0" fillId="10" borderId="0" xfId="0" applyFill="1"/>
    <xf numFmtId="0" fontId="18" fillId="11" borderId="0" xfId="0" applyFont="1" applyFill="1" applyAlignment="1">
      <alignment horizontal="left" vertical="center"/>
    </xf>
    <xf numFmtId="0" fontId="18" fillId="11" borderId="0" xfId="0" applyFont="1" applyFill="1" applyBorder="1" applyAlignment="1">
      <alignment horizontal="left" vertical="center"/>
    </xf>
    <xf numFmtId="17" fontId="15" fillId="10" borderId="0" xfId="0" applyNumberFormat="1" applyFont="1" applyFill="1" applyBorder="1" applyAlignment="1">
      <alignment horizontal="right" vertical="center" wrapText="1"/>
    </xf>
    <xf numFmtId="0" fontId="16" fillId="11" borderId="0" xfId="0" applyFont="1" applyFill="1" applyBorder="1" applyAlignment="1">
      <alignment horizontal="left" vertical="center" indent="1"/>
    </xf>
    <xf numFmtId="3" fontId="16" fillId="11" borderId="0" xfId="0" applyNumberFormat="1" applyFont="1" applyFill="1" applyBorder="1" applyAlignment="1">
      <alignment horizontal="right" vertical="center" wrapText="1"/>
    </xf>
    <xf numFmtId="0" fontId="16" fillId="11" borderId="0" xfId="0" applyFont="1" applyFill="1" applyBorder="1" applyAlignment="1">
      <alignment horizontal="left" vertical="center"/>
    </xf>
    <xf numFmtId="3" fontId="18" fillId="11" borderId="0" xfId="0" applyNumberFormat="1" applyFont="1" applyFill="1" applyBorder="1" applyAlignment="1">
      <alignment horizontal="right" vertical="center" wrapText="1"/>
    </xf>
    <xf numFmtId="0" fontId="18" fillId="11" borderId="0" xfId="0" applyFont="1" applyFill="1" applyBorder="1" applyAlignment="1">
      <alignment horizontal="right" vertical="center" wrapText="1"/>
    </xf>
    <xf numFmtId="0" fontId="16" fillId="11" borderId="0" xfId="0" applyFont="1" applyFill="1" applyBorder="1" applyAlignment="1">
      <alignment horizontal="right" vertical="center" wrapText="1"/>
    </xf>
    <xf numFmtId="0" fontId="0" fillId="0" borderId="0" xfId="0" applyFont="1"/>
    <xf numFmtId="166" fontId="0" fillId="0" borderId="0" xfId="0" applyNumberFormat="1"/>
    <xf numFmtId="8" fontId="0" fillId="0" borderId="0" xfId="0" applyNumberFormat="1"/>
    <xf numFmtId="44" fontId="0" fillId="0" borderId="0" xfId="0" applyNumberFormat="1"/>
    <xf numFmtId="44" fontId="0" fillId="0" borderId="0" xfId="0" applyNumberFormat="1" applyAlignment="1">
      <alignment horizontal="right"/>
    </xf>
    <xf numFmtId="166" fontId="1" fillId="0" borderId="0" xfId="0" applyNumberFormat="1" applyFont="1"/>
    <xf numFmtId="7" fontId="0" fillId="0" borderId="0" xfId="0" applyNumberFormat="1"/>
    <xf numFmtId="0" fontId="1" fillId="0" borderId="1" xfId="0" applyFont="1" applyBorder="1"/>
    <xf numFmtId="8" fontId="1" fillId="0" borderId="1" xfId="0" applyNumberFormat="1" applyFont="1" applyBorder="1"/>
    <xf numFmtId="0" fontId="1" fillId="0" borderId="2" xfId="0" applyFont="1" applyBorder="1"/>
    <xf numFmtId="8" fontId="1" fillId="0" borderId="2" xfId="0" applyNumberFormat="1" applyFont="1" applyBorder="1"/>
    <xf numFmtId="8" fontId="0" fillId="0" borderId="2" xfId="0" applyNumberFormat="1" applyBorder="1"/>
    <xf numFmtId="8" fontId="0" fillId="0" borderId="2" xfId="0" applyNumberFormat="1" applyFont="1" applyBorder="1"/>
    <xf numFmtId="166" fontId="1" fillId="0" borderId="2" xfId="0" applyNumberFormat="1" applyFont="1" applyBorder="1"/>
    <xf numFmtId="0" fontId="2" fillId="6" borderId="0" xfId="0" applyFont="1" applyFill="1"/>
    <xf numFmtId="17" fontId="2" fillId="6" borderId="0" xfId="0" applyNumberFormat="1" applyFont="1" applyFill="1"/>
    <xf numFmtId="17" fontId="2" fillId="6" borderId="0" xfId="0" applyNumberFormat="1" applyFont="1" applyFill="1" applyAlignment="1">
      <alignment horizontal="center"/>
    </xf>
    <xf numFmtId="0" fontId="0" fillId="0" borderId="3" xfId="0" applyBorder="1"/>
    <xf numFmtId="0" fontId="0" fillId="0" borderId="4" xfId="0" applyBorder="1"/>
    <xf numFmtId="167" fontId="0" fillId="0" borderId="0" xfId="0" applyNumberFormat="1"/>
    <xf numFmtId="0" fontId="0" fillId="0" borderId="2" xfId="0" applyBorder="1"/>
    <xf numFmtId="0" fontId="0" fillId="0" borderId="5" xfId="0" applyBorder="1"/>
    <xf numFmtId="0" fontId="13" fillId="0" borderId="0" xfId="0" applyFont="1" applyBorder="1"/>
    <xf numFmtId="0" fontId="0" fillId="0" borderId="6" xfId="0" applyBorder="1"/>
    <xf numFmtId="2" fontId="0" fillId="0" borderId="0" xfId="0" applyNumberFormat="1"/>
    <xf numFmtId="168" fontId="0" fillId="0" borderId="0" xfId="0" applyNumberFormat="1"/>
    <xf numFmtId="169" fontId="0" fillId="0" borderId="0" xfId="0" applyNumberFormat="1"/>
    <xf numFmtId="10" fontId="0" fillId="0" borderId="2" xfId="0" applyNumberFormat="1" applyBorder="1"/>
    <xf numFmtId="169" fontId="0" fillId="0" borderId="2" xfId="0" applyNumberFormat="1" applyBorder="1"/>
    <xf numFmtId="0" fontId="5" fillId="6" borderId="0" xfId="0" applyFont="1" applyFill="1"/>
    <xf numFmtId="0" fontId="0" fillId="0" borderId="0" xfId="0" applyAlignment="1">
      <alignment horizontal="left"/>
    </xf>
    <xf numFmtId="0" fontId="5" fillId="6" borderId="0" xfId="0" applyFont="1" applyFill="1" applyAlignment="1">
      <alignment horizontal="center"/>
    </xf>
    <xf numFmtId="170" fontId="0" fillId="0" borderId="0" xfId="0" applyNumberFormat="1" applyAlignment="1">
      <alignment horizontal="center"/>
    </xf>
    <xf numFmtId="172" fontId="0" fillId="0" borderId="0" xfId="0" applyNumberFormat="1"/>
    <xf numFmtId="0" fontId="0" fillId="13" borderId="0" xfId="0" applyFill="1" applyAlignment="1">
      <alignment horizontal="left"/>
    </xf>
    <xf numFmtId="171" fontId="0" fillId="13" borderId="0" xfId="0" applyNumberFormat="1" applyFill="1" applyAlignment="1">
      <alignment horizontal="center"/>
    </xf>
    <xf numFmtId="172" fontId="0" fillId="13" borderId="0" xfId="0" applyNumberFormat="1" applyFill="1"/>
    <xf numFmtId="10" fontId="0" fillId="13" borderId="0" xfId="0" applyNumberFormat="1" applyFill="1"/>
    <xf numFmtId="0" fontId="0" fillId="14" borderId="0" xfId="0" applyFill="1" applyAlignment="1">
      <alignment horizontal="left"/>
    </xf>
    <xf numFmtId="171" fontId="0" fillId="14" borderId="0" xfId="0" applyNumberFormat="1" applyFill="1" applyAlignment="1">
      <alignment horizontal="center"/>
    </xf>
    <xf numFmtId="172" fontId="0" fillId="14" borderId="0" xfId="0" applyNumberFormat="1" applyFill="1"/>
    <xf numFmtId="10" fontId="0" fillId="14" borderId="0" xfId="0" applyNumberFormat="1" applyFill="1"/>
    <xf numFmtId="0" fontId="19" fillId="8" borderId="0" xfId="0" applyFont="1" applyFill="1"/>
    <xf numFmtId="0" fontId="0" fillId="11" borderId="0" xfId="0" applyFill="1"/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8" xfId="0" applyBorder="1"/>
    <xf numFmtId="0" fontId="0" fillId="0" borderId="8" xfId="0" applyBorder="1" applyAlignment="1">
      <alignment vertical="center"/>
    </xf>
    <xf numFmtId="0" fontId="22" fillId="11" borderId="0" xfId="0" applyFont="1" applyFill="1"/>
    <xf numFmtId="0" fontId="22" fillId="0" borderId="0" xfId="0" applyFont="1"/>
    <xf numFmtId="4" fontId="22" fillId="0" borderId="0" xfId="0" applyNumberFormat="1" applyFont="1" applyAlignment="1">
      <alignment horizontal="center" vertical="center"/>
    </xf>
    <xf numFmtId="172" fontId="22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0" fontId="0" fillId="15" borderId="0" xfId="0" applyNumberFormat="1" applyFont="1" applyFill="1" applyAlignment="1">
      <alignment vertical="top"/>
    </xf>
    <xf numFmtId="10" fontId="0" fillId="15" borderId="0" xfId="0" applyNumberFormat="1" applyFill="1"/>
    <xf numFmtId="2" fontId="23" fillId="0" borderId="0" xfId="0" applyNumberFormat="1" applyFont="1"/>
    <xf numFmtId="2" fontId="0" fillId="15" borderId="0" xfId="0" applyNumberFormat="1" applyFill="1"/>
    <xf numFmtId="0" fontId="13" fillId="0" borderId="7" xfId="0" applyFont="1" applyBorder="1"/>
    <xf numFmtId="10" fontId="0" fillId="15" borderId="7" xfId="0" applyNumberFormat="1" applyFill="1" applyBorder="1"/>
    <xf numFmtId="2" fontId="23" fillId="0" borderId="7" xfId="0" applyNumberFormat="1" applyFont="1" applyBorder="1"/>
    <xf numFmtId="2" fontId="0" fillId="15" borderId="7" xfId="0" applyNumberFormat="1" applyFill="1" applyBorder="1"/>
    <xf numFmtId="0" fontId="13" fillId="0" borderId="8" xfId="0" applyFont="1" applyBorder="1"/>
    <xf numFmtId="10" fontId="0" fillId="15" borderId="8" xfId="0" applyNumberFormat="1" applyFill="1" applyBorder="1"/>
    <xf numFmtId="2" fontId="23" fillId="0" borderId="8" xfId="0" applyNumberFormat="1" applyFont="1" applyBorder="1"/>
    <xf numFmtId="2" fontId="0" fillId="15" borderId="8" xfId="0" applyNumberFormat="1" applyFill="1" applyBorder="1"/>
    <xf numFmtId="0" fontId="13" fillId="0" borderId="9" xfId="0" applyFont="1" applyBorder="1"/>
    <xf numFmtId="0" fontId="0" fillId="0" borderId="9" xfId="0" applyBorder="1"/>
    <xf numFmtId="10" fontId="23" fillId="0" borderId="0" xfId="0" applyNumberFormat="1" applyFont="1"/>
    <xf numFmtId="10" fontId="22" fillId="0" borderId="0" xfId="0" applyNumberFormat="1" applyFont="1"/>
    <xf numFmtId="9" fontId="23" fillId="0" borderId="0" xfId="0" applyNumberFormat="1" applyFont="1"/>
    <xf numFmtId="0" fontId="0" fillId="0" borderId="10" xfId="0" applyBorder="1"/>
    <xf numFmtId="10" fontId="0" fillId="15" borderId="10" xfId="0" applyNumberFormat="1" applyFill="1" applyBorder="1"/>
    <xf numFmtId="0" fontId="13" fillId="0" borderId="9" xfId="0" applyFont="1" applyBorder="1" applyAlignment="1">
      <alignment horizontal="right"/>
    </xf>
    <xf numFmtId="172" fontId="23" fillId="0" borderId="0" xfId="0" applyNumberFormat="1" applyFont="1"/>
    <xf numFmtId="9" fontId="0" fillId="15" borderId="0" xfId="0" applyNumberFormat="1" applyFill="1"/>
    <xf numFmtId="172" fontId="0" fillId="15" borderId="10" xfId="0" applyNumberFormat="1" applyFill="1" applyBorder="1"/>
    <xf numFmtId="10" fontId="0" fillId="0" borderId="10" xfId="0" applyNumberFormat="1" applyBorder="1"/>
    <xf numFmtId="0" fontId="13" fillId="0" borderId="0" xfId="0" applyFont="1"/>
    <xf numFmtId="0" fontId="20" fillId="0" borderId="0" xfId="0" applyFont="1"/>
    <xf numFmtId="0" fontId="24" fillId="0" borderId="0" xfId="0" applyFont="1" applyAlignment="1">
      <alignment vertical="top"/>
    </xf>
    <xf numFmtId="0" fontId="9" fillId="0" borderId="0" xfId="0" applyFont="1"/>
    <xf numFmtId="0" fontId="1" fillId="0" borderId="11" xfId="0" applyFont="1" applyBorder="1"/>
    <xf numFmtId="0" fontId="1" fillId="0" borderId="11" xfId="0" applyFont="1" applyBorder="1" applyAlignment="1">
      <alignment horizontal="right"/>
    </xf>
    <xf numFmtId="14" fontId="0" fillId="0" borderId="0" xfId="0" applyNumberFormat="1" applyAlignment="1">
      <alignment horizontal="left"/>
    </xf>
    <xf numFmtId="173" fontId="0" fillId="0" borderId="0" xfId="0" applyNumberFormat="1"/>
    <xf numFmtId="174" fontId="0" fillId="0" borderId="0" xfId="0" applyNumberFormat="1"/>
    <xf numFmtId="10" fontId="0" fillId="0" borderId="0" xfId="6" applyNumberFormat="1" applyFont="1"/>
    <xf numFmtId="0" fontId="0" fillId="13" borderId="0" xfId="0" applyFill="1"/>
    <xf numFmtId="0" fontId="20" fillId="0" borderId="12" xfId="0" applyFont="1" applyFill="1" applyBorder="1" applyAlignment="1">
      <alignment horizontal="centerContinuous"/>
    </xf>
    <xf numFmtId="0" fontId="0" fillId="0" borderId="0" xfId="0" applyFill="1" applyBorder="1" applyAlignment="1"/>
    <xf numFmtId="0" fontId="0" fillId="0" borderId="9" xfId="0" applyFill="1" applyBorder="1" applyAlignment="1"/>
    <xf numFmtId="0" fontId="20" fillId="0" borderId="12" xfId="0" applyFont="1" applyFill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Continuous"/>
    </xf>
    <xf numFmtId="0" fontId="5" fillId="16" borderId="0" xfId="0" applyFont="1" applyFill="1"/>
    <xf numFmtId="175" fontId="5" fillId="16" borderId="0" xfId="0" applyNumberFormat="1" applyFont="1" applyFill="1"/>
    <xf numFmtId="176" fontId="0" fillId="0" borderId="0" xfId="0" applyNumberFormat="1"/>
    <xf numFmtId="0" fontId="1" fillId="0" borderId="13" xfId="0" applyFont="1" applyBorder="1"/>
    <xf numFmtId="0" fontId="0" fillId="0" borderId="13" xfId="0" applyBorder="1"/>
    <xf numFmtId="10" fontId="1" fillId="0" borderId="13" xfId="6" applyNumberFormat="1" applyFont="1" applyBorder="1"/>
    <xf numFmtId="0" fontId="1" fillId="0" borderId="13" xfId="6" applyNumberFormat="1" applyFont="1" applyBorder="1"/>
    <xf numFmtId="10" fontId="1" fillId="0" borderId="0" xfId="0" applyNumberFormat="1" applyFont="1"/>
    <xf numFmtId="43" fontId="0" fillId="0" borderId="0" xfId="0" applyNumberFormat="1"/>
    <xf numFmtId="43" fontId="1" fillId="0" borderId="13" xfId="0" applyNumberFormat="1" applyFont="1" applyBorder="1"/>
    <xf numFmtId="169" fontId="0" fillId="0" borderId="0" xfId="6" applyNumberFormat="1" applyFont="1"/>
    <xf numFmtId="0" fontId="2" fillId="11" borderId="0" xfId="0" applyFont="1" applyFill="1"/>
    <xf numFmtId="17" fontId="5" fillId="6" borderId="0" xfId="0" applyNumberFormat="1" applyFont="1" applyFill="1"/>
    <xf numFmtId="0" fontId="5" fillId="11" borderId="0" xfId="0" applyFont="1" applyFill="1"/>
    <xf numFmtId="17" fontId="5" fillId="11" borderId="0" xfId="0" applyNumberFormat="1" applyFont="1" applyFill="1"/>
    <xf numFmtId="17" fontId="0" fillId="11" borderId="0" xfId="0" applyNumberFormat="1" applyFill="1"/>
    <xf numFmtId="17" fontId="5" fillId="16" borderId="0" xfId="0" applyNumberFormat="1" applyFont="1" applyFill="1"/>
    <xf numFmtId="177" fontId="0" fillId="0" borderId="14" xfId="0" applyNumberFormat="1" applyBorder="1"/>
    <xf numFmtId="177" fontId="0" fillId="0" borderId="0" xfId="0" applyNumberFormat="1"/>
    <xf numFmtId="3" fontId="1" fillId="0" borderId="0" xfId="0" applyNumberFormat="1" applyFont="1"/>
    <xf numFmtId="177" fontId="0" fillId="0" borderId="5" xfId="0" applyNumberFormat="1" applyBorder="1"/>
    <xf numFmtId="177" fontId="0" fillId="0" borderId="10" xfId="0" applyNumberFormat="1" applyBorder="1"/>
    <xf numFmtId="3" fontId="1" fillId="0" borderId="2" xfId="0" applyNumberFormat="1" applyFont="1" applyBorder="1"/>
    <xf numFmtId="0" fontId="1" fillId="0" borderId="15" xfId="0" applyFont="1" applyBorder="1"/>
    <xf numFmtId="177" fontId="0" fillId="0" borderId="15" xfId="0" applyNumberFormat="1" applyBorder="1"/>
    <xf numFmtId="177" fontId="0" fillId="0" borderId="0" xfId="0" applyNumberFormat="1" applyBorder="1"/>
    <xf numFmtId="0" fontId="0" fillId="0" borderId="14" xfId="0" applyBorder="1"/>
    <xf numFmtId="0" fontId="1" fillId="0" borderId="16" xfId="0" applyFont="1" applyBorder="1"/>
    <xf numFmtId="0" fontId="0" fillId="0" borderId="16" xfId="0" applyBorder="1"/>
    <xf numFmtId="177" fontId="1" fillId="0" borderId="16" xfId="0" applyNumberFormat="1" applyFont="1" applyBorder="1"/>
    <xf numFmtId="177" fontId="1" fillId="0" borderId="13" xfId="0" applyNumberFormat="1" applyFont="1" applyBorder="1"/>
    <xf numFmtId="177" fontId="1" fillId="0" borderId="0" xfId="0" applyNumberFormat="1" applyFont="1"/>
    <xf numFmtId="10" fontId="0" fillId="0" borderId="14" xfId="6" applyNumberFormat="1" applyFont="1" applyBorder="1"/>
    <xf numFmtId="0" fontId="1" fillId="0" borderId="17" xfId="0" applyFont="1" applyBorder="1"/>
    <xf numFmtId="0" fontId="0" fillId="0" borderId="17" xfId="0" applyBorder="1"/>
    <xf numFmtId="177" fontId="1" fillId="0" borderId="17" xfId="0" applyNumberFormat="1" applyFont="1" applyBorder="1"/>
    <xf numFmtId="177" fontId="0" fillId="0" borderId="3" xfId="0" applyNumberFormat="1" applyBorder="1"/>
    <xf numFmtId="0" fontId="0" fillId="0" borderId="15" xfId="0" applyBorder="1"/>
    <xf numFmtId="177" fontId="1" fillId="0" borderId="15" xfId="0" applyNumberFormat="1" applyFont="1" applyBorder="1"/>
    <xf numFmtId="172" fontId="1" fillId="0" borderId="0" xfId="0" applyNumberFormat="1" applyFont="1"/>
    <xf numFmtId="174" fontId="1" fillId="0" borderId="0" xfId="0" applyNumberFormat="1" applyFont="1"/>
    <xf numFmtId="0" fontId="25" fillId="11" borderId="0" xfId="0" applyFont="1" applyFill="1" applyBorder="1" applyAlignment="1">
      <alignment horizontal="left" vertical="center"/>
    </xf>
    <xf numFmtId="3" fontId="25" fillId="11" borderId="0" xfId="0" applyNumberFormat="1" applyFont="1" applyFill="1" applyBorder="1" applyAlignment="1">
      <alignment horizontal="right" vertical="center" wrapText="1"/>
    </xf>
    <xf numFmtId="0" fontId="25" fillId="11" borderId="0" xfId="0" applyFont="1" applyFill="1" applyBorder="1" applyAlignment="1">
      <alignment horizontal="right" vertical="center" wrapText="1"/>
    </xf>
    <xf numFmtId="2" fontId="0" fillId="0" borderId="14" xfId="6" applyNumberFormat="1" applyFont="1" applyBorder="1"/>
    <xf numFmtId="10" fontId="0" fillId="0" borderId="14" xfId="0" applyNumberFormat="1" applyBorder="1"/>
    <xf numFmtId="178" fontId="5" fillId="16" borderId="0" xfId="0" applyNumberFormat="1" applyFont="1" applyFill="1"/>
    <xf numFmtId="179" fontId="1" fillId="0" borderId="0" xfId="0" applyNumberFormat="1" applyFont="1"/>
    <xf numFmtId="0" fontId="2" fillId="6" borderId="0" xfId="0" applyFont="1" applyFill="1" applyAlignment="1">
      <alignment horizontal="center"/>
    </xf>
    <xf numFmtId="0" fontId="0" fillId="7" borderId="0" xfId="0" applyFill="1" applyAlignment="1">
      <alignment horizontal="left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0" fontId="0" fillId="1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left"/>
    </xf>
    <xf numFmtId="0" fontId="2" fillId="16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nak\Downloads\Telegram%20Desktop\Final%20Financial%20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c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ICAL FS"/>
      <sheetName val="Ratio Analysis"/>
      <sheetName val="FORECASTING"/>
      <sheetName val="CFS"/>
      <sheetName val="INTRISIK VALUE"/>
      <sheetName val="COMMON SIZE STATEMENT"/>
      <sheetName val="Profit &amp; Loss"/>
      <sheetName val="Quarters"/>
      <sheetName val="Balance Sheet"/>
      <sheetName val="Cash Flow"/>
      <sheetName val="Customization"/>
      <sheetName val="WACC"/>
      <sheetName val="BETA "/>
      <sheetName val="BETA Comps."/>
      <sheetName val="RM"/>
      <sheetName val="Intrisic Growth"/>
      <sheetName val="RAW FS"/>
      <sheetName val="DCF"/>
      <sheetName val="Dat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B1" t="str">
            <v>RELIANCE INDUSTRIES LTD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 (2)"/>
      <sheetName val="wcca"/>
      <sheetName val="BETA Comps."/>
      <sheetName val="Sheet2"/>
    </sheetNames>
    <sheetDataSet>
      <sheetData sheetId="0"/>
      <sheetData sheetId="1"/>
      <sheetData sheetId="2">
        <row r="3">
          <cell r="E3">
            <v>279783.37</v>
          </cell>
          <cell r="F3">
            <v>630.38</v>
          </cell>
        </row>
        <row r="4">
          <cell r="E4">
            <v>140524.04</v>
          </cell>
          <cell r="F4">
            <v>4839.33</v>
          </cell>
        </row>
        <row r="5">
          <cell r="E5">
            <v>22671.01</v>
          </cell>
          <cell r="F5">
            <v>365.02</v>
          </cell>
        </row>
        <row r="6">
          <cell r="E6">
            <v>19500.64</v>
          </cell>
          <cell r="F6">
            <v>10174.77</v>
          </cell>
        </row>
        <row r="7">
          <cell r="E7">
            <v>8657.2800000000007</v>
          </cell>
          <cell r="F7">
            <v>470.82</v>
          </cell>
        </row>
      </sheetData>
      <sheetData sheetId="3">
        <row r="6">
          <cell r="L6">
            <v>1.2681188370272609</v>
          </cell>
        </row>
      </sheetData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29">
  <tableColumns count="14">
    <tableColumn id="1" name="Column1" headerRowDxfId="28" dataDxfId="27"/>
    <tableColumn id="2" name="Column2" headerRowDxfId="26"/>
    <tableColumn id="3" name="Column3" headerRowDxfId="25"/>
    <tableColumn id="4" name="Column4" headerRowDxfId="24"/>
    <tableColumn id="5" name="Column5" headerRowDxfId="23"/>
    <tableColumn id="6" name="Column6" headerRowDxfId="22"/>
    <tableColumn id="7" name="Column7" headerRowDxfId="21"/>
    <tableColumn id="8" name="Column8" headerRowDxfId="20"/>
    <tableColumn id="9" name="Column9" headerRowDxfId="19"/>
    <tableColumn id="10" name="Column10" headerRowDxfId="18"/>
    <tableColumn id="11" name="Column11" headerRowDxfId="17"/>
    <tableColumn id="12" name="Column12" headerRowDxfId="16"/>
    <tableColumn id="13" name="Column13" headerRowDxfId="15" dataDxfId="14"/>
    <tableColumn id="14" name="Column14" headerRowDxfId="13" dataDxfId="12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1">
  <tableColumns count="11">
    <tableColumn id="1" name="Column1" headerRowDxfId="10"/>
    <tableColumn id="2" name="Column2" headerRowDxfId="9"/>
    <tableColumn id="3" name="Column3" headerRowDxfId="8"/>
    <tableColumn id="4" name="Column4" headerRowDxfId="7"/>
    <tableColumn id="5" name="Column5" headerRowDxfId="6"/>
    <tableColumn id="6" name="Column6" headerRowDxfId="5"/>
    <tableColumn id="7" name="Column7" headerRowDxfId="4"/>
    <tableColumn id="8" name="Column8" headerRowDxfId="3"/>
    <tableColumn id="9" name="Column9" headerRowDxfId="2"/>
    <tableColumn id="10" name="Column10" headerRowDxfId="1"/>
    <tableColumn id="11" name="Column11" headerRowDxfId="0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screener.in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screener.in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101"/>
  <sheetViews>
    <sheetView showGridLines="0" zoomScale="80" zoomScaleNormal="80" workbookViewId="0">
      <pane ySplit="2" topLeftCell="A3" activePane="bottomLeft" state="frozen"/>
      <selection pane="bottomLeft" activeCell="D39" sqref="D39"/>
    </sheetView>
  </sheetViews>
  <sheetFormatPr defaultRowHeight="14.5" x14ac:dyDescent="0.35"/>
  <cols>
    <col min="1" max="1" width="1.90625" customWidth="1"/>
    <col min="2" max="2" width="26.453125" customWidth="1"/>
    <col min="3" max="5" width="14.26953125" bestFit="1" customWidth="1"/>
    <col min="6" max="7" width="15.36328125" bestFit="1" customWidth="1"/>
    <col min="8" max="9" width="14.54296875" bestFit="1" customWidth="1"/>
    <col min="10" max="10" width="14.26953125" bestFit="1" customWidth="1"/>
    <col min="11" max="12" width="14.54296875" bestFit="1" customWidth="1"/>
    <col min="13" max="13" width="13.36328125" bestFit="1" customWidth="1"/>
  </cols>
  <sheetData>
    <row r="1" spans="2:13" x14ac:dyDescent="0.35">
      <c r="B1" s="202" t="str">
        <f>"HISTORICAL FINANCIAL STATEMENT-"&amp;'Data Sheet'!B1</f>
        <v>HISTORICAL FINANCIAL STATEMENT-RELIANCE INDUSTRIES LTD</v>
      </c>
      <c r="C1" s="202"/>
      <c r="D1" s="202"/>
      <c r="E1" s="202"/>
      <c r="F1" s="202"/>
      <c r="G1" s="202"/>
      <c r="H1" s="42"/>
      <c r="I1" s="42"/>
      <c r="J1" s="42"/>
      <c r="K1" s="42"/>
      <c r="L1" s="42"/>
      <c r="M1" s="42"/>
    </row>
    <row r="2" spans="2:13" x14ac:dyDescent="0.35">
      <c r="B2" s="42" t="s">
        <v>93</v>
      </c>
      <c r="C2" s="43">
        <f>'Data Sheet'!B16</f>
        <v>42460</v>
      </c>
      <c r="D2" s="43">
        <f>'Data Sheet'!C16</f>
        <v>42825</v>
      </c>
      <c r="E2" s="43">
        <f>'Data Sheet'!D16</f>
        <v>43190</v>
      </c>
      <c r="F2" s="43">
        <f>'Data Sheet'!E16</f>
        <v>43555</v>
      </c>
      <c r="G2" s="43">
        <f>'Data Sheet'!F16</f>
        <v>43921</v>
      </c>
      <c r="H2" s="43">
        <f>'Data Sheet'!G16</f>
        <v>44286</v>
      </c>
      <c r="I2" s="43">
        <f>'Data Sheet'!H16</f>
        <v>44651</v>
      </c>
      <c r="J2" s="43">
        <f>'Data Sheet'!I16</f>
        <v>45016</v>
      </c>
      <c r="K2" s="43">
        <f>'Data Sheet'!J16</f>
        <v>45382</v>
      </c>
      <c r="L2" s="43">
        <f>'Data Sheet'!K16</f>
        <v>45747</v>
      </c>
      <c r="M2" s="40" t="s">
        <v>94</v>
      </c>
    </row>
    <row r="3" spans="2:13" x14ac:dyDescent="0.35">
      <c r="B3" s="203" t="s">
        <v>95</v>
      </c>
      <c r="C3" s="203"/>
      <c r="D3" s="203"/>
    </row>
    <row r="4" spans="2:13" x14ac:dyDescent="0.35">
      <c r="B4" s="32" t="s">
        <v>96</v>
      </c>
      <c r="C4" s="33">
        <f>IFERROR('Data Sheet'!B17,0)</f>
        <v>272583</v>
      </c>
      <c r="D4" s="33">
        <f>IFERROR('Data Sheet'!C17,0)</f>
        <v>303954</v>
      </c>
      <c r="E4" s="33">
        <f>IFERROR('Data Sheet'!D17,0)</f>
        <v>390823</v>
      </c>
      <c r="F4" s="33">
        <f>IFERROR('Data Sheet'!E17,0)</f>
        <v>568337</v>
      </c>
      <c r="G4" s="33">
        <f>IFERROR('Data Sheet'!F17,0)</f>
        <v>596679</v>
      </c>
      <c r="H4" s="33">
        <f>IFERROR('Data Sheet'!G17,0)</f>
        <v>466307</v>
      </c>
      <c r="I4" s="33">
        <f>IFERROR('Data Sheet'!H17,0)</f>
        <v>694673</v>
      </c>
      <c r="J4" s="33">
        <f>IFERROR('Data Sheet'!I17,0)</f>
        <v>876396</v>
      </c>
      <c r="K4" s="33">
        <f>IFERROR('Data Sheet'!J17,0)</f>
        <v>899041</v>
      </c>
      <c r="L4" s="33">
        <f>IFERROR('Data Sheet'!K17,0)</f>
        <v>962820</v>
      </c>
      <c r="M4" s="33">
        <f>IFERROR(SUM('Data Sheet'!H17:K17),0)</f>
        <v>3432930</v>
      </c>
    </row>
    <row r="5" spans="2:13" x14ac:dyDescent="0.35">
      <c r="B5" s="37" t="s">
        <v>97</v>
      </c>
      <c r="C5" t="s">
        <v>98</v>
      </c>
      <c r="D5" s="39">
        <f>D4/C4-1</f>
        <v>0.11508788148930793</v>
      </c>
      <c r="E5" s="39">
        <f t="shared" ref="E5:M5" si="0">E4/D4-1</f>
        <v>0.28579653500200686</v>
      </c>
      <c r="F5" s="39">
        <f t="shared" si="0"/>
        <v>0.45420561225925793</v>
      </c>
      <c r="G5" s="39">
        <f t="shared" si="0"/>
        <v>4.9868299969912266E-2</v>
      </c>
      <c r="H5" s="39">
        <f t="shared" si="0"/>
        <v>-0.21849604226057895</v>
      </c>
      <c r="I5" s="39">
        <f t="shared" si="0"/>
        <v>0.48973315862725619</v>
      </c>
      <c r="J5" s="39">
        <f t="shared" si="0"/>
        <v>0.26159502384575184</v>
      </c>
      <c r="K5" s="39">
        <f t="shared" si="0"/>
        <v>2.5838776078393799E-2</v>
      </c>
      <c r="L5" s="39">
        <f t="shared" si="0"/>
        <v>7.0941147289167006E-2</v>
      </c>
      <c r="M5" s="39">
        <f t="shared" si="0"/>
        <v>2.5654951081198978</v>
      </c>
    </row>
    <row r="7" spans="2:13" x14ac:dyDescent="0.35">
      <c r="B7" s="32" t="s">
        <v>99</v>
      </c>
      <c r="C7" s="33">
        <f>IFERROR(SUM('Data Sheet'!B18,'Data Sheet'!B20,'Data Sheet'!B21,'Data Sheet'!B22,)-1*'Data Sheet'!B19,0)</f>
        <v>215234</v>
      </c>
      <c r="D7" s="33">
        <f>IFERROR(SUM('Data Sheet'!C18,'Data Sheet'!C20,'Data Sheet'!C21,'Data Sheet'!C22,)-1*'Data Sheet'!C19,0)</f>
        <v>241848</v>
      </c>
      <c r="E7" s="33">
        <f>IFERROR(SUM('Data Sheet'!D18,'Data Sheet'!D20,'Data Sheet'!D21,'Data Sheet'!D22,)-1*'Data Sheet'!D19,0)</f>
        <v>301249</v>
      </c>
      <c r="F7" s="33">
        <f>IFERROR(SUM('Data Sheet'!E18,'Data Sheet'!E20,'Data Sheet'!E21,'Data Sheet'!E22,)-1*'Data Sheet'!E19,0)</f>
        <v>436202</v>
      </c>
      <c r="G7" s="33">
        <f>IFERROR(SUM('Data Sheet'!F18,'Data Sheet'!F20,'Data Sheet'!F21,'Data Sheet'!F22,)-1*'Data Sheet'!F19,0)</f>
        <v>445847</v>
      </c>
      <c r="H7" s="33">
        <f>IFERROR(SUM('Data Sheet'!G18,'Data Sheet'!G20,'Data Sheet'!G21,'Data Sheet'!G22,)-1*'Data Sheet'!G19,0)</f>
        <v>328419</v>
      </c>
      <c r="I7" s="33">
        <f>IFERROR(SUM('Data Sheet'!H18,'Data Sheet'!H20,'Data Sheet'!H21,'Data Sheet'!H22,)-1*'Data Sheet'!H19,0)</f>
        <v>521826</v>
      </c>
      <c r="J7" s="33">
        <f>IFERROR(SUM('Data Sheet'!I18,'Data Sheet'!I20,'Data Sheet'!I21,'Data Sheet'!I22,)-1*'Data Sheet'!I19,0)</f>
        <v>658075</v>
      </c>
      <c r="K7" s="33">
        <f>IFERROR(SUM('Data Sheet'!J18,'Data Sheet'!J20,'Data Sheet'!J21,'Data Sheet'!J22,)-1*'Data Sheet'!J19,0)</f>
        <v>651435</v>
      </c>
      <c r="L7" s="33">
        <f>IFERROR(SUM('Data Sheet'!K18,'Data Sheet'!K20,'Data Sheet'!K21,'Data Sheet'!K22,)-1*'Data Sheet'!K19,0)</f>
        <v>700429</v>
      </c>
      <c r="M7" s="33">
        <f>IFERROR(SUM('Data Sheet'!H42:K42),0)</f>
        <v>999629</v>
      </c>
    </row>
    <row r="8" spans="2:13" x14ac:dyDescent="0.35">
      <c r="B8" s="34" t="s">
        <v>100</v>
      </c>
      <c r="C8" s="39">
        <f t="shared" ref="C8:M8" si="1">C7/C4</f>
        <v>0.789609036513649</v>
      </c>
      <c r="D8" s="39">
        <f t="shared" si="1"/>
        <v>0.79567302947156482</v>
      </c>
      <c r="E8" s="39">
        <f t="shared" si="1"/>
        <v>0.77080673348293216</v>
      </c>
      <c r="F8" s="39">
        <f t="shared" si="1"/>
        <v>0.76750589878892272</v>
      </c>
      <c r="G8" s="39">
        <f t="shared" si="1"/>
        <v>0.7472141637295765</v>
      </c>
      <c r="H8" s="39">
        <f t="shared" si="1"/>
        <v>0.70429781238540279</v>
      </c>
      <c r="I8" s="39">
        <f t="shared" si="1"/>
        <v>0.75118221091074511</v>
      </c>
      <c r="J8" s="39">
        <f t="shared" si="1"/>
        <v>0.75088772655283686</v>
      </c>
      <c r="K8" s="39">
        <f t="shared" si="1"/>
        <v>0.72458875624137276</v>
      </c>
      <c r="L8" s="39">
        <f t="shared" si="1"/>
        <v>0.72747657921522191</v>
      </c>
      <c r="M8" s="39">
        <f t="shared" si="1"/>
        <v>0.29118828522574008</v>
      </c>
    </row>
    <row r="9" spans="2:13" x14ac:dyDescent="0.35">
      <c r="B9" s="32"/>
    </row>
    <row r="10" spans="2:13" x14ac:dyDescent="0.35">
      <c r="B10" s="67" t="s">
        <v>101</v>
      </c>
      <c r="C10" s="68">
        <f t="shared" ref="C10:M10" si="2">C4-C7</f>
        <v>57349</v>
      </c>
      <c r="D10" s="68">
        <f t="shared" si="2"/>
        <v>62106</v>
      </c>
      <c r="E10" s="68">
        <f t="shared" si="2"/>
        <v>89574</v>
      </c>
      <c r="F10" s="68">
        <f t="shared" si="2"/>
        <v>132135</v>
      </c>
      <c r="G10" s="68">
        <f t="shared" si="2"/>
        <v>150832</v>
      </c>
      <c r="H10" s="68">
        <f t="shared" si="2"/>
        <v>137888</v>
      </c>
      <c r="I10" s="68">
        <f t="shared" si="2"/>
        <v>172847</v>
      </c>
      <c r="J10" s="68">
        <f t="shared" si="2"/>
        <v>218321</v>
      </c>
      <c r="K10" s="68">
        <f t="shared" si="2"/>
        <v>247606</v>
      </c>
      <c r="L10" s="68">
        <f t="shared" si="2"/>
        <v>262391</v>
      </c>
      <c r="M10" s="68">
        <f t="shared" si="2"/>
        <v>2433301</v>
      </c>
    </row>
    <row r="11" spans="2:13" x14ac:dyDescent="0.35">
      <c r="B11" s="34" t="s">
        <v>109</v>
      </c>
      <c r="C11" s="39">
        <f>C10/C4</f>
        <v>0.21039096348635095</v>
      </c>
      <c r="D11" s="39">
        <f t="shared" ref="D11:M11" si="3">D10/D4</f>
        <v>0.20432697052843524</v>
      </c>
      <c r="E11" s="39">
        <f t="shared" si="3"/>
        <v>0.22919326651706784</v>
      </c>
      <c r="F11" s="39">
        <f t="shared" si="3"/>
        <v>0.23249410121107722</v>
      </c>
      <c r="G11" s="39">
        <f t="shared" si="3"/>
        <v>0.25278583627042345</v>
      </c>
      <c r="H11" s="39">
        <f t="shared" si="3"/>
        <v>0.29570218761459727</v>
      </c>
      <c r="I11" s="39">
        <f t="shared" si="3"/>
        <v>0.24881778908925495</v>
      </c>
      <c r="J11" s="39">
        <f t="shared" si="3"/>
        <v>0.24911227344716316</v>
      </c>
      <c r="K11" s="39">
        <f t="shared" si="3"/>
        <v>0.27541124375862724</v>
      </c>
      <c r="L11" s="39">
        <f t="shared" si="3"/>
        <v>0.27252342078477804</v>
      </c>
      <c r="M11" s="39">
        <f t="shared" si="3"/>
        <v>0.70881171477425986</v>
      </c>
    </row>
    <row r="13" spans="2:13" x14ac:dyDescent="0.35">
      <c r="B13" s="60" t="s">
        <v>102</v>
      </c>
      <c r="C13" s="33">
        <f>IFERROR(SUM('Data Sheet'!B23,'Data Sheet'!B24),0)</f>
        <v>15568</v>
      </c>
      <c r="D13" s="33">
        <f>IFERROR(SUM('Data Sheet'!C23,'Data Sheet'!C24),0)</f>
        <v>15799</v>
      </c>
      <c r="E13" s="33">
        <f>IFERROR(SUM('Data Sheet'!D23,'Data Sheet'!D24),0)</f>
        <v>25259</v>
      </c>
      <c r="F13" s="33">
        <f>IFERROR(SUM('Data Sheet'!E23,'Data Sheet'!E24),0)</f>
        <v>47885</v>
      </c>
      <c r="G13" s="33">
        <f>IFERROR(SUM('Data Sheet'!F23,'Data Sheet'!F24),0)</f>
        <v>61566</v>
      </c>
      <c r="H13" s="33">
        <f>IFERROR(SUM('Data Sheet'!G23,'Data Sheet'!G24),0)</f>
        <v>57098</v>
      </c>
      <c r="I13" s="33">
        <f>IFERROR(SUM('Data Sheet'!H23,'Data Sheet'!H24),0)</f>
        <v>64266</v>
      </c>
      <c r="J13" s="33">
        <f>IFERROR(SUM('Data Sheet'!I23,'Data Sheet'!I24),0)</f>
        <v>76003</v>
      </c>
      <c r="K13" s="33">
        <f>IFERROR(SUM('Data Sheet'!J23,'Data Sheet'!J24),0)</f>
        <v>85108</v>
      </c>
      <c r="L13" s="33">
        <f>IFERROR(SUM('Data Sheet'!K23,'Data Sheet'!K24),0)</f>
        <v>96793</v>
      </c>
      <c r="M13" s="32">
        <f>IFERROR(SUM('Data Sheet'!L23,'Data Sheet'!L24),0)</f>
        <v>0</v>
      </c>
    </row>
    <row r="14" spans="2:13" x14ac:dyDescent="0.35">
      <c r="B14" s="34" t="s">
        <v>103</v>
      </c>
      <c r="C14" s="36">
        <f>C13/C4</f>
        <v>5.7112879379858615E-2</v>
      </c>
      <c r="D14" s="36">
        <f t="shared" ref="D14:M14" si="4">D13/D4</f>
        <v>5.1978259868269538E-2</v>
      </c>
      <c r="E14" s="36">
        <f t="shared" si="4"/>
        <v>6.4630280203570409E-2</v>
      </c>
      <c r="F14" s="36">
        <f t="shared" si="4"/>
        <v>8.425458838681979E-2</v>
      </c>
      <c r="G14" s="36">
        <f t="shared" si="4"/>
        <v>0.10318110742962296</v>
      </c>
      <c r="H14" s="36">
        <f t="shared" si="4"/>
        <v>0.12244722897147159</v>
      </c>
      <c r="I14" s="36">
        <f t="shared" si="4"/>
        <v>9.2512592255636822E-2</v>
      </c>
      <c r="J14" s="36">
        <f t="shared" si="4"/>
        <v>8.6722212333237486E-2</v>
      </c>
      <c r="K14" s="36">
        <f t="shared" si="4"/>
        <v>9.4665315597397673E-2</v>
      </c>
      <c r="L14" s="36">
        <f t="shared" si="4"/>
        <v>0.10053073263953802</v>
      </c>
      <c r="M14" s="36">
        <f t="shared" si="4"/>
        <v>0</v>
      </c>
    </row>
    <row r="16" spans="2:13" x14ac:dyDescent="0.35">
      <c r="B16" s="69" t="s">
        <v>104</v>
      </c>
      <c r="C16" s="70">
        <f>C10-C13</f>
        <v>41781</v>
      </c>
      <c r="D16" s="70">
        <f t="shared" ref="D16:M16" si="5">D10-D13</f>
        <v>46307</v>
      </c>
      <c r="E16" s="70">
        <f t="shared" si="5"/>
        <v>64315</v>
      </c>
      <c r="F16" s="70">
        <f t="shared" si="5"/>
        <v>84250</v>
      </c>
      <c r="G16" s="70">
        <f t="shared" si="5"/>
        <v>89266</v>
      </c>
      <c r="H16" s="70">
        <f t="shared" si="5"/>
        <v>80790</v>
      </c>
      <c r="I16" s="70">
        <f t="shared" si="5"/>
        <v>108581</v>
      </c>
      <c r="J16" s="70">
        <f t="shared" si="5"/>
        <v>142318</v>
      </c>
      <c r="K16" s="70">
        <f t="shared" si="5"/>
        <v>162498</v>
      </c>
      <c r="L16" s="70">
        <f t="shared" si="5"/>
        <v>165598</v>
      </c>
      <c r="M16" s="70">
        <f t="shared" si="5"/>
        <v>2433301</v>
      </c>
    </row>
    <row r="17" spans="2:13" x14ac:dyDescent="0.35">
      <c r="B17" s="34" t="s">
        <v>105</v>
      </c>
      <c r="C17" s="39">
        <f>C16/C4</f>
        <v>0.15327808410649232</v>
      </c>
      <c r="D17" s="39">
        <f t="shared" ref="D17:M17" si="6">D16/D4</f>
        <v>0.15234871066016567</v>
      </c>
      <c r="E17" s="39">
        <f t="shared" si="6"/>
        <v>0.16456298631349742</v>
      </c>
      <c r="F17" s="39">
        <f t="shared" si="6"/>
        <v>0.14823951282425743</v>
      </c>
      <c r="G17" s="39">
        <f t="shared" si="6"/>
        <v>0.1496047288408005</v>
      </c>
      <c r="H17" s="39">
        <f t="shared" si="6"/>
        <v>0.17325495864312568</v>
      </c>
      <c r="I17" s="39">
        <f t="shared" si="6"/>
        <v>0.15630519683361813</v>
      </c>
      <c r="J17" s="39">
        <f t="shared" si="6"/>
        <v>0.16239006111392568</v>
      </c>
      <c r="K17" s="39">
        <f t="shared" si="6"/>
        <v>0.18074592816122959</v>
      </c>
      <c r="L17" s="39">
        <f t="shared" si="6"/>
        <v>0.17199268814524002</v>
      </c>
      <c r="M17" s="39">
        <f t="shared" si="6"/>
        <v>0.70881171477425986</v>
      </c>
    </row>
    <row r="18" spans="2:13" x14ac:dyDescent="0.35">
      <c r="C18" s="39"/>
    </row>
    <row r="19" spans="2:13" x14ac:dyDescent="0.35">
      <c r="B19" s="60" t="s">
        <v>106</v>
      </c>
      <c r="C19" s="33">
        <f>IFERROR('Data Sheet'!B27,0)</f>
        <v>3691</v>
      </c>
      <c r="D19" s="33">
        <f>IFERROR('Data Sheet'!C27,0)</f>
        <v>3849</v>
      </c>
      <c r="E19" s="33">
        <f>IFERROR('Data Sheet'!D27,0)</f>
        <v>8052</v>
      </c>
      <c r="F19" s="33">
        <f>IFERROR('Data Sheet'!E27,0)</f>
        <v>16495</v>
      </c>
      <c r="G19" s="33">
        <f>IFERROR('Data Sheet'!F27,0)</f>
        <v>22027</v>
      </c>
      <c r="H19" s="33">
        <f>IFERROR('Data Sheet'!G27,0)</f>
        <v>21189</v>
      </c>
      <c r="I19" s="33">
        <f>IFERROR('Data Sheet'!H27,0)</f>
        <v>14584</v>
      </c>
      <c r="J19" s="33">
        <f>IFERROR('Data Sheet'!I27,0)</f>
        <v>19571</v>
      </c>
      <c r="K19" s="33">
        <f>IFERROR('Data Sheet'!J27,0)</f>
        <v>23118</v>
      </c>
      <c r="L19" s="33">
        <f>IFERROR('Data Sheet'!K27,0)</f>
        <v>24269</v>
      </c>
      <c r="M19" s="33">
        <f>IFERROR(SUM('Data Sheet'!H27:K27),0)</f>
        <v>81542</v>
      </c>
    </row>
    <row r="20" spans="2:13" x14ac:dyDescent="0.35">
      <c r="B20" s="37" t="s">
        <v>107</v>
      </c>
      <c r="C20" s="39">
        <f>C19/C4</f>
        <v>1.3540829765612676E-2</v>
      </c>
      <c r="D20" s="39">
        <f t="shared" ref="D20:M20" si="7">D19/D4</f>
        <v>1.2663100337551077E-2</v>
      </c>
      <c r="E20" s="39">
        <f t="shared" si="7"/>
        <v>2.0602676915125261E-2</v>
      </c>
      <c r="F20" s="39">
        <f t="shared" si="7"/>
        <v>2.902327316363355E-2</v>
      </c>
      <c r="G20" s="39">
        <f t="shared" si="7"/>
        <v>3.6915996708447925E-2</v>
      </c>
      <c r="H20" s="39">
        <f t="shared" si="7"/>
        <v>4.5440021273538675E-2</v>
      </c>
      <c r="I20" s="39">
        <f t="shared" si="7"/>
        <v>2.0994050438119805E-2</v>
      </c>
      <c r="J20" s="39">
        <f t="shared" si="7"/>
        <v>2.2331229261657971E-2</v>
      </c>
      <c r="K20" s="39">
        <f t="shared" si="7"/>
        <v>2.5714066433010285E-2</v>
      </c>
      <c r="L20" s="39">
        <f t="shared" si="7"/>
        <v>2.5206165222990799E-2</v>
      </c>
      <c r="M20" s="39">
        <f t="shared" si="7"/>
        <v>2.3752887475130574E-2</v>
      </c>
    </row>
    <row r="22" spans="2:13" x14ac:dyDescent="0.35">
      <c r="B22" s="60" t="s">
        <v>10</v>
      </c>
      <c r="C22" s="33">
        <f>IFERROR('Data Sheet'!B26,0)</f>
        <v>11565</v>
      </c>
      <c r="D22" s="33">
        <f>IFERROR('Data Sheet'!C26,0)</f>
        <v>11646</v>
      </c>
      <c r="E22" s="33">
        <f>IFERROR('Data Sheet'!D26,0)</f>
        <v>16706</v>
      </c>
      <c r="F22" s="33">
        <f>IFERROR('Data Sheet'!E26,0)</f>
        <v>20934</v>
      </c>
      <c r="G22" s="33">
        <f>IFERROR('Data Sheet'!F26,0)</f>
        <v>22203</v>
      </c>
      <c r="H22" s="33">
        <f>IFERROR('Data Sheet'!G26,0)</f>
        <v>26572</v>
      </c>
      <c r="I22" s="33">
        <f>IFERROR('Data Sheet'!H26,0)</f>
        <v>29782</v>
      </c>
      <c r="J22" s="33">
        <f>IFERROR('Data Sheet'!I26,0)</f>
        <v>40303</v>
      </c>
      <c r="K22" s="33">
        <f>IFERROR('Data Sheet'!J26,0)</f>
        <v>50832</v>
      </c>
      <c r="L22" s="33">
        <f>IFERROR('Data Sheet'!K26,0)</f>
        <v>53136</v>
      </c>
      <c r="M22" s="33">
        <f>IFERROR(SUM('Data Sheet'!H26:K26),0)</f>
        <v>174053</v>
      </c>
    </row>
    <row r="23" spans="2:13" x14ac:dyDescent="0.35">
      <c r="B23" s="37" t="s">
        <v>108</v>
      </c>
      <c r="C23" s="39">
        <f>C22/C4</f>
        <v>4.242744411793839E-2</v>
      </c>
      <c r="D23" s="39">
        <f t="shared" ref="D23:M23" si="8">D22/D4</f>
        <v>3.8315008192029057E-2</v>
      </c>
      <c r="E23" s="39">
        <f t="shared" si="8"/>
        <v>4.2745693063100179E-2</v>
      </c>
      <c r="F23" s="39">
        <f t="shared" si="8"/>
        <v>3.6833779958017863E-2</v>
      </c>
      <c r="G23" s="39">
        <f t="shared" si="8"/>
        <v>3.721096267842508E-2</v>
      </c>
      <c r="H23" s="39">
        <f t="shared" si="8"/>
        <v>5.6983918319905125E-2</v>
      </c>
      <c r="I23" s="39">
        <f t="shared" si="8"/>
        <v>4.2871969977241089E-2</v>
      </c>
      <c r="J23" s="39">
        <f t="shared" si="8"/>
        <v>4.5987202132369384E-2</v>
      </c>
      <c r="K23" s="39">
        <f t="shared" si="8"/>
        <v>5.6540246774062587E-2</v>
      </c>
      <c r="L23" s="39">
        <f t="shared" si="8"/>
        <v>5.5187885586090855E-2</v>
      </c>
      <c r="M23" s="39">
        <f t="shared" si="8"/>
        <v>5.0701004681132443E-2</v>
      </c>
    </row>
    <row r="25" spans="2:13" x14ac:dyDescent="0.35">
      <c r="B25" s="69" t="s">
        <v>110</v>
      </c>
      <c r="C25" s="70">
        <f>IFERROR(C16-SUM(C19,C22),0)</f>
        <v>26525</v>
      </c>
      <c r="D25" s="70">
        <f t="shared" ref="D25:M25" si="9">IFERROR(D16-SUM(D19,D22),0)</f>
        <v>30812</v>
      </c>
      <c r="E25" s="70">
        <f t="shared" si="9"/>
        <v>39557</v>
      </c>
      <c r="F25" s="70">
        <f t="shared" si="9"/>
        <v>46821</v>
      </c>
      <c r="G25" s="70">
        <f t="shared" si="9"/>
        <v>45036</v>
      </c>
      <c r="H25" s="70">
        <f t="shared" si="9"/>
        <v>33029</v>
      </c>
      <c r="I25" s="70">
        <f t="shared" si="9"/>
        <v>64215</v>
      </c>
      <c r="J25" s="70">
        <f t="shared" si="9"/>
        <v>82444</v>
      </c>
      <c r="K25" s="70">
        <f t="shared" si="9"/>
        <v>88548</v>
      </c>
      <c r="L25" s="70">
        <f t="shared" si="9"/>
        <v>88193</v>
      </c>
      <c r="M25" s="70">
        <f t="shared" si="9"/>
        <v>2177706</v>
      </c>
    </row>
    <row r="26" spans="2:13" x14ac:dyDescent="0.35">
      <c r="B26" s="37" t="s">
        <v>111</v>
      </c>
      <c r="C26" s="39">
        <f t="shared" ref="C26:M26" si="10">C25/C4</f>
        <v>9.7309810222941273E-2</v>
      </c>
      <c r="D26" s="39">
        <f t="shared" si="10"/>
        <v>0.10137060213058555</v>
      </c>
      <c r="E26" s="39">
        <f t="shared" si="10"/>
        <v>0.10121461633527198</v>
      </c>
      <c r="F26" s="39">
        <f t="shared" si="10"/>
        <v>8.238245970260602E-2</v>
      </c>
      <c r="G26" s="39">
        <f t="shared" si="10"/>
        <v>7.5477769453927493E-2</v>
      </c>
      <c r="H26" s="39">
        <f t="shared" si="10"/>
        <v>7.0831019049681865E-2</v>
      </c>
      <c r="I26" s="39">
        <f t="shared" si="10"/>
        <v>9.2439176418257218E-2</v>
      </c>
      <c r="J26" s="39">
        <f t="shared" si="10"/>
        <v>9.4071629719898311E-2</v>
      </c>
      <c r="K26" s="39">
        <f t="shared" si="10"/>
        <v>9.8491614954156703E-2</v>
      </c>
      <c r="L26" s="39">
        <f t="shared" si="10"/>
        <v>9.1598637336158362E-2</v>
      </c>
      <c r="M26" s="39">
        <f t="shared" si="10"/>
        <v>0.63435782261799689</v>
      </c>
    </row>
    <row r="28" spans="2:13" x14ac:dyDescent="0.35">
      <c r="B28" s="60" t="s">
        <v>112</v>
      </c>
      <c r="C28" s="33">
        <f>IFERROR('Data Sheet'!B29,0)</f>
        <v>8876</v>
      </c>
      <c r="D28" s="33">
        <f>IFERROR('Data Sheet'!C29,0)</f>
        <v>10201</v>
      </c>
      <c r="E28" s="33">
        <f>IFERROR('Data Sheet'!D29,0)</f>
        <v>13346</v>
      </c>
      <c r="F28" s="33">
        <f>IFERROR('Data Sheet'!E29,0)</f>
        <v>15390</v>
      </c>
      <c r="G28" s="33">
        <f>IFERROR('Data Sheet'!F29,0)</f>
        <v>13726</v>
      </c>
      <c r="H28" s="33">
        <f>IFERROR('Data Sheet'!G29,0)</f>
        <v>1722</v>
      </c>
      <c r="I28" s="33">
        <f>IFERROR('Data Sheet'!H29,0)</f>
        <v>15970</v>
      </c>
      <c r="J28" s="33">
        <f>IFERROR('Data Sheet'!I29,0)</f>
        <v>20376</v>
      </c>
      <c r="K28" s="33">
        <f>IFERROR('Data Sheet'!J29,0)</f>
        <v>25707</v>
      </c>
      <c r="L28" s="33">
        <f>IFERROR('Data Sheet'!K29,0)</f>
        <v>25230</v>
      </c>
      <c r="M28" s="33">
        <f>IFERROR(SUM('Data Sheet'!H28:K28),0)</f>
        <v>388636</v>
      </c>
    </row>
    <row r="29" spans="2:13" x14ac:dyDescent="0.35">
      <c r="B29" s="37" t="s">
        <v>113</v>
      </c>
      <c r="C29" s="39">
        <f>C28/C25</f>
        <v>0.3346277097078228</v>
      </c>
      <c r="D29" s="39">
        <f t="shared" ref="D29:M29" si="11">D28/D25</f>
        <v>0.33107230948980915</v>
      </c>
      <c r="E29" s="39">
        <f t="shared" si="11"/>
        <v>0.33738655610890611</v>
      </c>
      <c r="F29" s="39">
        <f t="shared" si="11"/>
        <v>0.32869866085730765</v>
      </c>
      <c r="G29" s="39">
        <f t="shared" si="11"/>
        <v>0.30477839950262015</v>
      </c>
      <c r="H29" s="39">
        <f t="shared" si="11"/>
        <v>5.2136001695479731E-2</v>
      </c>
      <c r="I29" s="39">
        <f t="shared" si="11"/>
        <v>0.24869578758856964</v>
      </c>
      <c r="J29" s="39">
        <f t="shared" si="11"/>
        <v>0.24714958032118772</v>
      </c>
      <c r="K29" s="39">
        <f t="shared" si="11"/>
        <v>0.2903171161403984</v>
      </c>
      <c r="L29" s="39">
        <f t="shared" si="11"/>
        <v>0.28607712630254101</v>
      </c>
      <c r="M29" s="39">
        <f t="shared" si="11"/>
        <v>0.17846118805752476</v>
      </c>
    </row>
    <row r="31" spans="2:13" x14ac:dyDescent="0.35">
      <c r="B31" s="69" t="s">
        <v>114</v>
      </c>
      <c r="C31" s="70">
        <f>C25-C28</f>
        <v>17649</v>
      </c>
      <c r="D31" s="70">
        <f t="shared" ref="D31:M31" si="12">D25-D28</f>
        <v>20611</v>
      </c>
      <c r="E31" s="70">
        <f t="shared" si="12"/>
        <v>26211</v>
      </c>
      <c r="F31" s="70">
        <f t="shared" si="12"/>
        <v>31431</v>
      </c>
      <c r="G31" s="70">
        <f t="shared" si="12"/>
        <v>31310</v>
      </c>
      <c r="H31" s="70">
        <f t="shared" si="12"/>
        <v>31307</v>
      </c>
      <c r="I31" s="70">
        <f t="shared" si="12"/>
        <v>48245</v>
      </c>
      <c r="J31" s="70">
        <f t="shared" si="12"/>
        <v>62068</v>
      </c>
      <c r="K31" s="70">
        <f t="shared" si="12"/>
        <v>62841</v>
      </c>
      <c r="L31" s="70">
        <f t="shared" si="12"/>
        <v>62963</v>
      </c>
      <c r="M31" s="70">
        <f t="shared" si="12"/>
        <v>1789070</v>
      </c>
    </row>
    <row r="32" spans="2:13" x14ac:dyDescent="0.35">
      <c r="B32" s="37" t="s">
        <v>115</v>
      </c>
      <c r="C32" s="41">
        <f>C31/C4</f>
        <v>6.4747251295935546E-2</v>
      </c>
      <c r="D32" s="41">
        <f t="shared" ref="D32:M32" si="13">D31/D4</f>
        <v>6.7809602768840016E-2</v>
      </c>
      <c r="E32" s="41">
        <f t="shared" si="13"/>
        <v>6.7066165502030331E-2</v>
      </c>
      <c r="F32" s="41">
        <f t="shared" si="13"/>
        <v>5.5303455520228313E-2</v>
      </c>
      <c r="G32" s="41">
        <f t="shared" si="13"/>
        <v>5.247377568173172E-2</v>
      </c>
      <c r="H32" s="41">
        <f t="shared" si="13"/>
        <v>6.7138172920415087E-2</v>
      </c>
      <c r="I32" s="41">
        <f t="shared" si="13"/>
        <v>6.944994263488001E-2</v>
      </c>
      <c r="J32" s="41">
        <f t="shared" si="13"/>
        <v>7.0821865914495269E-2</v>
      </c>
      <c r="K32" s="41">
        <f t="shared" si="13"/>
        <v>6.9897813336655387E-2</v>
      </c>
      <c r="L32" s="41">
        <f t="shared" si="13"/>
        <v>6.5394362393801544E-2</v>
      </c>
      <c r="M32" s="41">
        <f t="shared" si="13"/>
        <v>0.52114957194000455</v>
      </c>
    </row>
    <row r="34" spans="1:13" x14ac:dyDescent="0.35">
      <c r="B34" s="32" t="s">
        <v>116</v>
      </c>
      <c r="C34" s="33">
        <f>IFERROR('Data Sheet'!B93,0)</f>
        <v>1382.58</v>
      </c>
      <c r="D34" s="33">
        <f>IFERROR('Data Sheet'!C93,0)</f>
        <v>1387.22</v>
      </c>
      <c r="E34" s="33">
        <f>IFERROR('Data Sheet'!D93,0)</f>
        <v>1351.39</v>
      </c>
      <c r="F34" s="33">
        <f>IFERROR('Data Sheet'!E93,0)</f>
        <v>1352.26</v>
      </c>
      <c r="G34" s="33">
        <f>IFERROR('Data Sheet'!F93,0)</f>
        <v>1352.37</v>
      </c>
      <c r="H34" s="33">
        <f>IFERROR('Data Sheet'!G93,0)</f>
        <v>1267.8900000000001</v>
      </c>
      <c r="I34" s="33">
        <f>IFERROR('Data Sheet'!H93,0)</f>
        <v>1352.98</v>
      </c>
      <c r="J34" s="33">
        <f>IFERROR('Data Sheet'!I93,0)</f>
        <v>1353.12</v>
      </c>
      <c r="K34" s="33">
        <f>IFERROR('Data Sheet'!J93,0)</f>
        <v>1353.14</v>
      </c>
      <c r="L34" s="33">
        <f>IFERROR('Data Sheet'!K93,0)</f>
        <v>1353.24</v>
      </c>
      <c r="M34" s="33">
        <f>IFERROR('Data Sheet'!L93,0)</f>
        <v>0</v>
      </c>
    </row>
    <row r="36" spans="1:13" x14ac:dyDescent="0.35">
      <c r="B36" s="32" t="s">
        <v>57</v>
      </c>
      <c r="C36" s="33">
        <f>IFERROR(C31/C34,0)</f>
        <v>12.765264939461009</v>
      </c>
      <c r="D36" s="33">
        <f t="shared" ref="D36:M36" si="14">IFERROR(D31/D34,0)</f>
        <v>14.857773100157148</v>
      </c>
      <c r="E36" s="33">
        <f t="shared" si="14"/>
        <v>19.395585286260811</v>
      </c>
      <c r="F36" s="33">
        <f t="shared" si="14"/>
        <v>23.243311197550767</v>
      </c>
      <c r="G36" s="33">
        <f t="shared" si="14"/>
        <v>23.151948061551206</v>
      </c>
      <c r="H36" s="33">
        <f t="shared" si="14"/>
        <v>24.692205159753605</v>
      </c>
      <c r="I36" s="33">
        <f t="shared" si="14"/>
        <v>35.658324587207495</v>
      </c>
      <c r="J36" s="33">
        <f t="shared" si="14"/>
        <v>45.870284971029918</v>
      </c>
      <c r="K36" s="33">
        <f t="shared" si="14"/>
        <v>46.440870863325301</v>
      </c>
      <c r="L36" s="33">
        <f t="shared" si="14"/>
        <v>46.527593035972927</v>
      </c>
      <c r="M36" s="33">
        <f t="shared" si="14"/>
        <v>0</v>
      </c>
    </row>
    <row r="37" spans="1:13" x14ac:dyDescent="0.35">
      <c r="B37" s="37" t="s">
        <v>119</v>
      </c>
      <c r="C37" s="33"/>
      <c r="D37" s="41">
        <f>D36/C36-1</f>
        <v>0.16392203143607387</v>
      </c>
      <c r="E37" s="41">
        <f t="shared" ref="E37:M37" si="15">E36/D36-1</f>
        <v>0.30541671053353658</v>
      </c>
      <c r="F37" s="41">
        <f t="shared" si="15"/>
        <v>0.19838153138980319</v>
      </c>
      <c r="G37" s="41">
        <f t="shared" si="15"/>
        <v>-3.930728080136392E-3</v>
      </c>
      <c r="H37" s="41">
        <f t="shared" si="15"/>
        <v>6.6528185624272762E-2</v>
      </c>
      <c r="I37" s="41">
        <f t="shared" si="15"/>
        <v>0.44411259976601114</v>
      </c>
      <c r="J37" s="41">
        <f t="shared" si="15"/>
        <v>0.28638362856470234</v>
      </c>
      <c r="K37" s="41">
        <f t="shared" si="15"/>
        <v>1.243911810567E-2</v>
      </c>
      <c r="L37" s="41">
        <f t="shared" si="15"/>
        <v>1.8673674940947738E-3</v>
      </c>
      <c r="M37" s="41">
        <f t="shared" si="15"/>
        <v>-1</v>
      </c>
    </row>
    <row r="38" spans="1:13" x14ac:dyDescent="0.35">
      <c r="C38" s="35"/>
    </row>
    <row r="39" spans="1:13" x14ac:dyDescent="0.35">
      <c r="B39" s="32" t="s">
        <v>117</v>
      </c>
      <c r="C39" s="33">
        <f>IFERROR('Data Sheet'!B31/'HISTORICAL FS'!C34,0)</f>
        <v>2.2388577876144602</v>
      </c>
      <c r="D39" s="33">
        <f>IFERROR('Data Sheet'!C31/'HISTORICAL FS'!D34,0)</f>
        <v>2.346347371000995</v>
      </c>
      <c r="E39" s="33">
        <f>IFERROR('Data Sheet'!D31/'HISTORICAL FS'!E34,0)</f>
        <v>2.6292928022258559</v>
      </c>
      <c r="F39" s="33">
        <f>IFERROR('Data Sheet'!E31/'HISTORICAL FS'!F34,0)</f>
        <v>2.8484906748702175</v>
      </c>
      <c r="G39" s="33">
        <f>IFERROR('Data Sheet'!F31/'HISTORICAL FS'!G34,0)</f>
        <v>3.0467623505401633</v>
      </c>
      <c r="H39" s="33">
        <f>IFERROR('Data Sheet'!G31/'HISTORICAL FS'!H34,0)</f>
        <v>3.5582739827587564</v>
      </c>
      <c r="I39" s="33">
        <f>IFERROR('Data Sheet'!H31/'HISTORICAL FS'!I34,0)</f>
        <v>4.0000591287380445</v>
      </c>
      <c r="J39" s="33">
        <f>IFERROR('Data Sheet'!I31/'HISTORICAL FS'!J34,0)</f>
        <v>4.5002660517914155</v>
      </c>
      <c r="K39" s="33">
        <f>IFERROR('Data Sheet'!J31/'HISTORICAL FS'!K34,0)</f>
        <v>5.0002217065492109</v>
      </c>
      <c r="L39" s="33">
        <f>IFERROR('Data Sheet'!K31/'HISTORICAL FS'!L34,0)</f>
        <v>5.4998374272117294</v>
      </c>
      <c r="M39" s="33">
        <f>IFERROR('Data Sheet'!L31/'HISTORICAL FS'!M34,0)</f>
        <v>0</v>
      </c>
    </row>
    <row r="41" spans="1:13" x14ac:dyDescent="0.35">
      <c r="B41" s="37" t="s">
        <v>118</v>
      </c>
      <c r="C41" s="41">
        <f>IFERROR(C39/C36,0)</f>
        <v>0.17538670746217916</v>
      </c>
      <c r="D41" s="41">
        <f t="shared" ref="D41:M41" si="16">IFERROR(D39/D36,0)</f>
        <v>0.15792052787346564</v>
      </c>
      <c r="E41" s="41">
        <f t="shared" si="16"/>
        <v>0.13556140551676776</v>
      </c>
      <c r="F41" s="41">
        <f t="shared" si="16"/>
        <v>0.12255098469663708</v>
      </c>
      <c r="G41" s="41">
        <f t="shared" si="16"/>
        <v>0.13159853082082401</v>
      </c>
      <c r="H41" s="41">
        <f t="shared" si="16"/>
        <v>0.14410515220238285</v>
      </c>
      <c r="I41" s="41">
        <f t="shared" si="16"/>
        <v>0.11217742771271634</v>
      </c>
      <c r="J41" s="41">
        <f t="shared" si="16"/>
        <v>9.8108526132628729E-2</v>
      </c>
      <c r="K41" s="41">
        <f t="shared" si="16"/>
        <v>0.10766856033481326</v>
      </c>
      <c r="L41" s="41">
        <f t="shared" si="16"/>
        <v>0.11820593046709973</v>
      </c>
      <c r="M41" s="41">
        <f t="shared" si="16"/>
        <v>0</v>
      </c>
    </row>
    <row r="43" spans="1:13" x14ac:dyDescent="0.35">
      <c r="B43" s="32" t="s">
        <v>120</v>
      </c>
      <c r="C43" s="38">
        <f>IFERROR(1-C41,0)</f>
        <v>0.8246132925378209</v>
      </c>
      <c r="D43" s="38">
        <f t="shared" ref="D43:M43" si="17">IFERROR(1-D41,0)</f>
        <v>0.84207947212653433</v>
      </c>
      <c r="E43" s="38">
        <f t="shared" si="17"/>
        <v>0.86443859448323224</v>
      </c>
      <c r="F43" s="38">
        <f t="shared" si="17"/>
        <v>0.87744901530336294</v>
      </c>
      <c r="G43" s="38">
        <f t="shared" si="17"/>
        <v>0.86840146917917593</v>
      </c>
      <c r="H43" s="38">
        <f t="shared" si="17"/>
        <v>0.85589484779761715</v>
      </c>
      <c r="I43" s="38">
        <f t="shared" si="17"/>
        <v>0.88782257228728367</v>
      </c>
      <c r="J43" s="38">
        <f t="shared" si="17"/>
        <v>0.90189147386737123</v>
      </c>
      <c r="K43" s="38">
        <f t="shared" si="17"/>
        <v>0.89233143966518669</v>
      </c>
      <c r="L43" s="38">
        <f t="shared" si="17"/>
        <v>0.88179406953290029</v>
      </c>
      <c r="M43" s="38">
        <f t="shared" si="17"/>
        <v>1</v>
      </c>
    </row>
    <row r="46" spans="1:13" x14ac:dyDescent="0.35">
      <c r="A46" t="s">
        <v>122</v>
      </c>
      <c r="B46" s="44" t="s">
        <v>121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</row>
    <row r="47" spans="1:13" x14ac:dyDescent="0.35">
      <c r="B47" t="str">
        <f>'Balance Sheet'!A4</f>
        <v>Equity Share Capital</v>
      </c>
      <c r="C47" s="62">
        <f>IFERROR( 'Balance Sheet'!B4,0)</f>
        <v>2948</v>
      </c>
      <c r="D47" s="62">
        <f>IFERROR( 'Balance Sheet'!C4,0)</f>
        <v>2959</v>
      </c>
      <c r="E47" s="62">
        <f>IFERROR( 'Balance Sheet'!D4,0)</f>
        <v>5922</v>
      </c>
      <c r="F47" s="62">
        <f>IFERROR( 'Balance Sheet'!E4,0)</f>
        <v>5926</v>
      </c>
      <c r="G47" s="62">
        <f>IFERROR( 'Balance Sheet'!F4,0)</f>
        <v>6339</v>
      </c>
      <c r="H47" s="62">
        <f>IFERROR( 'Balance Sheet'!G4,0)</f>
        <v>6445</v>
      </c>
      <c r="I47" s="62">
        <f>IFERROR( 'Balance Sheet'!H4,0)</f>
        <v>6765</v>
      </c>
      <c r="J47" s="62">
        <f>IFERROR( 'Balance Sheet'!I4,0)</f>
        <v>6766</v>
      </c>
      <c r="K47" s="62">
        <f>IFERROR( 'Balance Sheet'!J4,0)</f>
        <v>6766</v>
      </c>
      <c r="L47" s="62">
        <f>IFERROR( 'Balance Sheet'!K4,0)</f>
        <v>13532</v>
      </c>
      <c r="M47" s="62">
        <f>IFERROR( 'Balance Sheet'!L4,0)</f>
        <v>0</v>
      </c>
    </row>
    <row r="48" spans="1:13" x14ac:dyDescent="0.35">
      <c r="B48" t="str">
        <f>'Balance Sheet'!A5</f>
        <v>Reserves</v>
      </c>
      <c r="C48" s="62">
        <f>IFERROR( 'Balance Sheet'!B5,0)</f>
        <v>228608</v>
      </c>
      <c r="D48" s="62">
        <f>IFERROR( 'Balance Sheet'!C5,0)</f>
        <v>260750</v>
      </c>
      <c r="E48" s="62">
        <f>IFERROR( 'Balance Sheet'!D5,0)</f>
        <v>287584</v>
      </c>
      <c r="F48" s="62">
        <f>IFERROR( 'Balance Sheet'!E5,0)</f>
        <v>381186</v>
      </c>
      <c r="G48" s="62">
        <f>IFERROR( 'Balance Sheet'!F5,0)</f>
        <v>442827</v>
      </c>
      <c r="H48" s="62">
        <f>IFERROR( 'Balance Sheet'!G5,0)</f>
        <v>693727</v>
      </c>
      <c r="I48" s="62">
        <f>IFERROR( 'Balance Sheet'!H5,0)</f>
        <v>772720</v>
      </c>
      <c r="J48" s="62">
        <f>IFERROR( 'Balance Sheet'!I5,0)</f>
        <v>709106</v>
      </c>
      <c r="K48" s="62">
        <f>IFERROR( 'Balance Sheet'!J5,0)</f>
        <v>786715</v>
      </c>
      <c r="L48" s="62">
        <f>IFERROR( 'Balance Sheet'!K5,0)</f>
        <v>829668</v>
      </c>
      <c r="M48" s="62">
        <f>IFERROR( 'Balance Sheet'!L5,0)</f>
        <v>0</v>
      </c>
    </row>
    <row r="49" spans="2:15" x14ac:dyDescent="0.35">
      <c r="B49" t="str">
        <f>'Balance Sheet'!A6</f>
        <v>Borrowings</v>
      </c>
      <c r="C49" s="62">
        <f>IFERROR( 'Balance Sheet'!B6,0)</f>
        <v>194714</v>
      </c>
      <c r="D49" s="62">
        <f>IFERROR( 'Balance Sheet'!C6,0)</f>
        <v>217475</v>
      </c>
      <c r="E49" s="62">
        <f>IFERROR( 'Balance Sheet'!D6,0)</f>
        <v>239843</v>
      </c>
      <c r="F49" s="62">
        <f>IFERROR( 'Balance Sheet'!E6,0)</f>
        <v>307714</v>
      </c>
      <c r="G49" s="62">
        <f>IFERROR( 'Balance Sheet'!F6,0)</f>
        <v>355133</v>
      </c>
      <c r="H49" s="62">
        <f>IFERROR( 'Balance Sheet'!G6,0)</f>
        <v>278962</v>
      </c>
      <c r="I49" s="62">
        <f>IFERROR( 'Balance Sheet'!H6,0)</f>
        <v>319158</v>
      </c>
      <c r="J49" s="62">
        <f>IFERROR( 'Balance Sheet'!I6,0)</f>
        <v>451664</v>
      </c>
      <c r="K49" s="62">
        <f>IFERROR( 'Balance Sheet'!J6,0)</f>
        <v>350719</v>
      </c>
      <c r="L49" s="62">
        <f>IFERROR( 'Balance Sheet'!K6,0)</f>
        <v>374313</v>
      </c>
      <c r="M49" s="62">
        <f>IFERROR( 'Balance Sheet'!L6,0)</f>
        <v>0</v>
      </c>
    </row>
    <row r="50" spans="2:15" x14ac:dyDescent="0.35">
      <c r="B50" t="str">
        <f>'Balance Sheet'!A7</f>
        <v>Other Liabilities</v>
      </c>
      <c r="C50" s="62">
        <f>IFERROR( 'Balance Sheet'!B7,0)</f>
        <v>172727</v>
      </c>
      <c r="D50" s="62">
        <f>IFERROR( 'Balance Sheet'!C7,0)</f>
        <v>225618</v>
      </c>
      <c r="E50" s="62">
        <f>IFERROR( 'Balance Sheet'!D7,0)</f>
        <v>277924</v>
      </c>
      <c r="F50" s="62">
        <f>IFERROR( 'Balance Sheet'!E7,0)</f>
        <v>302804</v>
      </c>
      <c r="G50" s="62">
        <f>IFERROR( 'Balance Sheet'!F7,0)</f>
        <v>358716</v>
      </c>
      <c r="H50" s="62">
        <f>IFERROR( 'Balance Sheet'!G7,0)</f>
        <v>340931</v>
      </c>
      <c r="I50" s="62">
        <f>IFERROR( 'Balance Sheet'!H7,0)</f>
        <v>399979</v>
      </c>
      <c r="J50" s="62">
        <f>IFERROR( 'Balance Sheet'!I7,0)</f>
        <v>438346</v>
      </c>
      <c r="K50" s="62">
        <f>IFERROR( 'Balance Sheet'!J7,0)</f>
        <v>610848</v>
      </c>
      <c r="L50" s="62">
        <f>IFERROR( 'Balance Sheet'!K7,0)</f>
        <v>732200</v>
      </c>
      <c r="M50" s="62">
        <f>IFERROR( 'Balance Sheet'!L7,0)</f>
        <v>0</v>
      </c>
    </row>
    <row r="51" spans="2:15" x14ac:dyDescent="0.35">
      <c r="B51" s="69" t="s">
        <v>123</v>
      </c>
      <c r="C51" s="70">
        <f>IFERROR( 'Balance Sheet'!B8,0)</f>
        <v>598997</v>
      </c>
      <c r="D51" s="70">
        <f>IFERROR( 'Balance Sheet'!C8,0)</f>
        <v>706802</v>
      </c>
      <c r="E51" s="70">
        <f>IFERROR( 'Balance Sheet'!D8,0)</f>
        <v>811273</v>
      </c>
      <c r="F51" s="70">
        <f>IFERROR( 'Balance Sheet'!E8,0)</f>
        <v>997630</v>
      </c>
      <c r="G51" s="70">
        <f>IFERROR( 'Balance Sheet'!F8,0)</f>
        <v>1163015</v>
      </c>
      <c r="H51" s="70">
        <f>IFERROR( 'Balance Sheet'!G8,0)</f>
        <v>1320065</v>
      </c>
      <c r="I51" s="70">
        <f>IFERROR( 'Balance Sheet'!H8,0)</f>
        <v>1498622</v>
      </c>
      <c r="J51" s="70">
        <f>IFERROR( 'Balance Sheet'!I8,0)</f>
        <v>1605882</v>
      </c>
      <c r="K51" s="70">
        <f>IFERROR( 'Balance Sheet'!J8,0)</f>
        <v>1755048</v>
      </c>
      <c r="L51" s="70">
        <f>IFERROR( 'Balance Sheet'!K8,0)</f>
        <v>1949713</v>
      </c>
      <c r="M51" s="71">
        <f>IFERROR( 'Balance Sheet'!L8,0)</f>
        <v>0</v>
      </c>
    </row>
    <row r="53" spans="2:15" x14ac:dyDescent="0.35">
      <c r="B53" t="s">
        <v>124</v>
      </c>
      <c r="C53" s="62">
        <f>IFERROR('Balance Sheet'!B10,0)</f>
        <v>184910</v>
      </c>
      <c r="D53" s="62">
        <f>IFERROR('Balance Sheet'!C10,0)</f>
        <v>198526</v>
      </c>
      <c r="E53" s="62">
        <f>IFERROR('Balance Sheet'!D10,0)</f>
        <v>403885</v>
      </c>
      <c r="F53" s="62">
        <f>IFERROR('Balance Sheet'!E10,0)</f>
        <v>398374</v>
      </c>
      <c r="G53" s="62">
        <f>IFERROR('Balance Sheet'!F10,0)</f>
        <v>532658</v>
      </c>
      <c r="H53" s="62">
        <f>IFERROR('Balance Sheet'!G10,0)</f>
        <v>541258</v>
      </c>
      <c r="I53" s="62">
        <f>IFERROR('Balance Sheet'!H10,0)</f>
        <v>627798</v>
      </c>
      <c r="J53" s="62">
        <f>IFERROR('Balance Sheet'!I10,0)</f>
        <v>724805</v>
      </c>
      <c r="K53" s="62">
        <f>IFERROR('Balance Sheet'!J10,0)</f>
        <v>779985</v>
      </c>
      <c r="L53" s="62">
        <f>IFERROR('Balance Sheet'!K10,0)</f>
        <v>999393</v>
      </c>
      <c r="M53" s="62">
        <f>IFERROR('Balance Sheet'!L10,0)</f>
        <v>0</v>
      </c>
    </row>
    <row r="54" spans="2:15" x14ac:dyDescent="0.35">
      <c r="B54" t="str">
        <f>'Balance Sheet'!A11</f>
        <v>Capital Work in Progress</v>
      </c>
      <c r="C54" s="62">
        <f>IFERROR('Balance Sheet'!B11,0)</f>
        <v>228697</v>
      </c>
      <c r="D54" s="62">
        <f>IFERROR('Balance Sheet'!C11,0)</f>
        <v>324837</v>
      </c>
      <c r="E54" s="62">
        <f>IFERROR('Balance Sheet'!D11,0)</f>
        <v>187022</v>
      </c>
      <c r="F54" s="62">
        <f>IFERROR('Balance Sheet'!E11,0)</f>
        <v>179463</v>
      </c>
      <c r="G54" s="62">
        <f>IFERROR('Balance Sheet'!F11,0)</f>
        <v>109106</v>
      </c>
      <c r="H54" s="62">
        <f>IFERROR('Balance Sheet'!G11,0)</f>
        <v>125953</v>
      </c>
      <c r="I54" s="62">
        <f>IFERROR('Balance Sheet'!H11,0)</f>
        <v>172506</v>
      </c>
      <c r="J54" s="62">
        <f>IFERROR('Balance Sheet'!I11,0)</f>
        <v>293752</v>
      </c>
      <c r="K54" s="62">
        <f>IFERROR('Balance Sheet'!J11,0)</f>
        <v>338855</v>
      </c>
      <c r="L54" s="62">
        <f>IFERROR('Balance Sheet'!K11,0)</f>
        <v>262358</v>
      </c>
      <c r="M54" s="62">
        <f>IFERROR('Balance Sheet'!L11,0)</f>
        <v>0</v>
      </c>
      <c r="N54" s="62"/>
      <c r="O54" s="62"/>
    </row>
    <row r="55" spans="2:15" x14ac:dyDescent="0.35">
      <c r="B55" t="str">
        <f>'Balance Sheet'!A12</f>
        <v>Investments</v>
      </c>
      <c r="C55" s="62">
        <f>IFERROR('Balance Sheet'!B12,0)</f>
        <v>84015</v>
      </c>
      <c r="D55" s="62">
        <f>IFERROR('Balance Sheet'!C12,0)</f>
        <v>82899</v>
      </c>
      <c r="E55" s="62">
        <f>IFERROR('Balance Sheet'!D12,0)</f>
        <v>82862</v>
      </c>
      <c r="F55" s="62">
        <f>IFERROR('Balance Sheet'!E12,0)</f>
        <v>235635</v>
      </c>
      <c r="G55" s="62">
        <f>IFERROR('Balance Sheet'!F12,0)</f>
        <v>276767</v>
      </c>
      <c r="H55" s="62">
        <f>IFERROR('Balance Sheet'!G12,0)</f>
        <v>364828</v>
      </c>
      <c r="I55" s="62">
        <f>IFERROR('Balance Sheet'!H12,0)</f>
        <v>394264</v>
      </c>
      <c r="J55" s="62">
        <f>IFERROR('Balance Sheet'!I12,0)</f>
        <v>235560</v>
      </c>
      <c r="K55" s="62">
        <f>IFERROR('Balance Sheet'!J12,0)</f>
        <v>225672</v>
      </c>
      <c r="L55" s="62">
        <f>IFERROR('Balance Sheet'!K12,0)</f>
        <v>242381</v>
      </c>
      <c r="M55" s="62">
        <f>IFERROR('Balance Sheet'!L12,0)</f>
        <v>0</v>
      </c>
    </row>
    <row r="56" spans="2:15" x14ac:dyDescent="0.35">
      <c r="B56" t="str">
        <f>'Balance Sheet'!A13</f>
        <v>Other Assets</v>
      </c>
      <c r="C56" s="62">
        <f>IFERROR('Balance Sheet'!B13-SUM('Data Sheet'!B67:B69),0)</f>
        <v>39396</v>
      </c>
      <c r="D56" s="62">
        <f>IFERROR('Balance Sheet'!C13-SUM('Data Sheet'!C67:C69),0)</f>
        <v>40389</v>
      </c>
      <c r="E56" s="62">
        <f>IFERROR('Balance Sheet'!D13-SUM('Data Sheet'!D67:D69),0)</f>
        <v>54857</v>
      </c>
      <c r="F56" s="62">
        <f>IFERROR('Balance Sheet'!E13-SUM('Data Sheet'!E67:E69),0)</f>
        <v>75427</v>
      </c>
      <c r="G56" s="62">
        <f>IFERROR('Balance Sheet'!F13-SUM('Data Sheet'!F67:F69),0)</f>
        <v>120005</v>
      </c>
      <c r="H56" s="62">
        <f>IFERROR('Balance Sheet'!G13-SUM('Data Sheet'!G67:G69),0)</f>
        <v>169943</v>
      </c>
      <c r="I56" s="62">
        <f>IFERROR('Balance Sheet'!H13-SUM('Data Sheet'!H67:H69),0)</f>
        <v>136458</v>
      </c>
      <c r="J56" s="62">
        <f>IFERROR('Balance Sheet'!I13-SUM('Data Sheet'!I67:I69),0)</f>
        <v>114645</v>
      </c>
      <c r="K56" s="62">
        <f>IFERROR('Balance Sheet'!J13-SUM('Data Sheet'!J67:J69),0)</f>
        <v>128913</v>
      </c>
      <c r="L56" s="62">
        <f>IFERROR('Balance Sheet'!K13-SUM('Data Sheet'!K67:K69),0)</f>
        <v>150896</v>
      </c>
      <c r="M56" s="62">
        <f>IFERROR('Balance Sheet'!L13,0)</f>
        <v>0</v>
      </c>
    </row>
    <row r="57" spans="2:15" x14ac:dyDescent="0.35">
      <c r="B57" s="69" t="s">
        <v>125</v>
      </c>
      <c r="C57" s="71">
        <f>SUM(C53:C56)</f>
        <v>537018</v>
      </c>
      <c r="D57" s="71">
        <f t="shared" ref="D57:L57" si="18">SUM(D53:D56)</f>
        <v>646651</v>
      </c>
      <c r="E57" s="71">
        <f t="shared" si="18"/>
        <v>728626</v>
      </c>
      <c r="F57" s="71">
        <f t="shared" si="18"/>
        <v>888899</v>
      </c>
      <c r="G57" s="71">
        <f t="shared" si="18"/>
        <v>1038536</v>
      </c>
      <c r="H57" s="71">
        <f t="shared" si="18"/>
        <v>1201982</v>
      </c>
      <c r="I57" s="71">
        <f t="shared" si="18"/>
        <v>1331026</v>
      </c>
      <c r="J57" s="71">
        <f t="shared" si="18"/>
        <v>1368762</v>
      </c>
      <c r="K57" s="71">
        <f t="shared" si="18"/>
        <v>1473425</v>
      </c>
      <c r="L57" s="71">
        <f t="shared" si="18"/>
        <v>1655028</v>
      </c>
      <c r="M57" s="71">
        <f>IFERROR('Balance Sheet'!L14,0)</f>
        <v>0</v>
      </c>
    </row>
    <row r="58" spans="2:15" x14ac:dyDescent="0.35">
      <c r="M58" s="62">
        <f>IFERROR('Balance Sheet'!L15,0)</f>
        <v>0</v>
      </c>
    </row>
    <row r="59" spans="2:15" x14ac:dyDescent="0.35">
      <c r="B59" t="s">
        <v>78</v>
      </c>
      <c r="C59" s="62">
        <f>IFERROR('Data Sheet'!B67,0)</f>
        <v>4465</v>
      </c>
      <c r="D59" s="62">
        <f>IFERROR('Data Sheet'!C67,0)</f>
        <v>8177</v>
      </c>
      <c r="E59" s="62">
        <f>IFERROR('Data Sheet'!D67,0)</f>
        <v>17555</v>
      </c>
      <c r="F59" s="62">
        <f>IFERROR('Data Sheet'!E67,0)</f>
        <v>30089</v>
      </c>
      <c r="G59" s="62">
        <f>IFERROR('Data Sheet'!F67,0)</f>
        <v>19656</v>
      </c>
      <c r="H59" s="62">
        <f>IFERROR('Data Sheet'!G67,0)</f>
        <v>19014</v>
      </c>
      <c r="I59" s="62">
        <f>IFERROR('Data Sheet'!H67,0)</f>
        <v>23640</v>
      </c>
      <c r="J59" s="62">
        <f>IFERROR('Data Sheet'!I67,0)</f>
        <v>28448</v>
      </c>
      <c r="K59" s="62">
        <f>IFERROR('Data Sheet'!J67,0)</f>
        <v>31628</v>
      </c>
      <c r="L59" s="62">
        <f>IFERROR('Data Sheet'!K67,0)</f>
        <v>42121</v>
      </c>
      <c r="M59" s="62">
        <f>IFERROR('Balance Sheet'!L16,0)</f>
        <v>0</v>
      </c>
    </row>
    <row r="60" spans="2:15" x14ac:dyDescent="0.35">
      <c r="B60" t="str">
        <f>'Balance Sheet'!A18</f>
        <v>Inventory</v>
      </c>
      <c r="C60" s="62">
        <f>IFERROR('Data Sheet'!B68,0)</f>
        <v>46486</v>
      </c>
      <c r="D60" s="62">
        <f>IFERROR('Data Sheet'!C68,0)</f>
        <v>48951</v>
      </c>
      <c r="E60" s="62">
        <f>IFERROR('Data Sheet'!D68,0)</f>
        <v>60837</v>
      </c>
      <c r="F60" s="62">
        <f>IFERROR('Data Sheet'!E68,0)</f>
        <v>67561</v>
      </c>
      <c r="G60" s="62">
        <f>IFERROR('Data Sheet'!F68,0)</f>
        <v>73903</v>
      </c>
      <c r="H60" s="62">
        <f>IFERROR('Data Sheet'!G68,0)</f>
        <v>81672</v>
      </c>
      <c r="I60" s="62">
        <f>IFERROR('Data Sheet'!H68,0)</f>
        <v>107778</v>
      </c>
      <c r="J60" s="62">
        <f>IFERROR('Data Sheet'!I68,0)</f>
        <v>140008</v>
      </c>
      <c r="K60" s="62">
        <f>IFERROR('Data Sheet'!J68,0)</f>
        <v>152770</v>
      </c>
      <c r="L60" s="62">
        <f>IFERROR('Data Sheet'!K68,0)</f>
        <v>146062</v>
      </c>
      <c r="M60" s="62">
        <f>IFERROR('Balance Sheet'!L17,0)</f>
        <v>0</v>
      </c>
    </row>
    <row r="61" spans="2:15" x14ac:dyDescent="0.35">
      <c r="B61" t="s">
        <v>126</v>
      </c>
      <c r="C61" s="62">
        <f>IFERROR('Data Sheet'!B69,0)</f>
        <v>11028</v>
      </c>
      <c r="D61" s="62">
        <f>IFERROR('Data Sheet'!C69,0)</f>
        <v>3023</v>
      </c>
      <c r="E61" s="62">
        <f>IFERROR('Data Sheet'!D69,0)</f>
        <v>4255</v>
      </c>
      <c r="F61" s="62">
        <f>IFERROR('Data Sheet'!E69,0)</f>
        <v>11081</v>
      </c>
      <c r="G61" s="62">
        <f>IFERROR('Data Sheet'!F69,0)</f>
        <v>30920</v>
      </c>
      <c r="H61" s="62">
        <f>IFERROR('Data Sheet'!G69,0)</f>
        <v>17397</v>
      </c>
      <c r="I61" s="62">
        <f>IFERROR('Data Sheet'!H69,0)</f>
        <v>36178</v>
      </c>
      <c r="J61" s="62">
        <f>IFERROR('Data Sheet'!I69,0)</f>
        <v>68664</v>
      </c>
      <c r="K61" s="62">
        <f>IFERROR('Data Sheet'!J69,0)</f>
        <v>97225</v>
      </c>
      <c r="L61" s="62">
        <f>IFERROR('Data Sheet'!K69,0)</f>
        <v>106502</v>
      </c>
      <c r="M61" s="62">
        <f>IFERROR('Balance Sheet'!L18,0)</f>
        <v>0</v>
      </c>
    </row>
    <row r="62" spans="2:15" x14ac:dyDescent="0.35">
      <c r="B62" s="69" t="s">
        <v>127</v>
      </c>
      <c r="C62" s="72">
        <f>SUM(C59:C61)</f>
        <v>61979</v>
      </c>
      <c r="D62" s="72">
        <f t="shared" ref="D62:L62" si="19">SUM(D59:D61)</f>
        <v>60151</v>
      </c>
      <c r="E62" s="72">
        <f t="shared" si="19"/>
        <v>82647</v>
      </c>
      <c r="F62" s="72">
        <f t="shared" si="19"/>
        <v>108731</v>
      </c>
      <c r="G62" s="72">
        <f t="shared" si="19"/>
        <v>124479</v>
      </c>
      <c r="H62" s="72">
        <f t="shared" si="19"/>
        <v>118083</v>
      </c>
      <c r="I62" s="72">
        <f t="shared" si="19"/>
        <v>167596</v>
      </c>
      <c r="J62" s="72">
        <f t="shared" si="19"/>
        <v>237120</v>
      </c>
      <c r="K62" s="72">
        <f t="shared" si="19"/>
        <v>281623</v>
      </c>
      <c r="L62" s="72">
        <f t="shared" si="19"/>
        <v>294685</v>
      </c>
      <c r="M62" s="71">
        <f>IFERROR('Balance Sheet'!L19,0)</f>
        <v>0</v>
      </c>
    </row>
    <row r="63" spans="2:15" x14ac:dyDescent="0.35">
      <c r="M63" s="62">
        <f>IFERROR('Balance Sheet'!L20,0)</f>
        <v>0</v>
      </c>
    </row>
    <row r="64" spans="2:15" x14ac:dyDescent="0.35">
      <c r="B64" s="69" t="s">
        <v>128</v>
      </c>
      <c r="C64" s="70">
        <f>SUM(C62,C57)</f>
        <v>598997</v>
      </c>
      <c r="D64" s="70">
        <f t="shared" ref="D64:L64" si="20">SUM(D62,D57)</f>
        <v>706802</v>
      </c>
      <c r="E64" s="70">
        <f t="shared" si="20"/>
        <v>811273</v>
      </c>
      <c r="F64" s="70">
        <f t="shared" si="20"/>
        <v>997630</v>
      </c>
      <c r="G64" s="70">
        <f t="shared" si="20"/>
        <v>1163015</v>
      </c>
      <c r="H64" s="70">
        <f t="shared" si="20"/>
        <v>1320065</v>
      </c>
      <c r="I64" s="70">
        <f t="shared" si="20"/>
        <v>1498622</v>
      </c>
      <c r="J64" s="70">
        <f t="shared" si="20"/>
        <v>1605882</v>
      </c>
      <c r="K64" s="70">
        <f t="shared" si="20"/>
        <v>1755048</v>
      </c>
      <c r="L64" s="70">
        <f t="shared" si="20"/>
        <v>1949713</v>
      </c>
      <c r="M64" s="71">
        <f>IFERROR('Balance Sheet'!L21,0)</f>
        <v>0</v>
      </c>
    </row>
    <row r="66" spans="1:13" x14ac:dyDescent="0.35">
      <c r="B66" s="32" t="s">
        <v>148</v>
      </c>
      <c r="C66" t="b">
        <f>C64=C51</f>
        <v>1</v>
      </c>
      <c r="D66" t="b">
        <f t="shared" ref="D66:M66" si="21">D64=D51</f>
        <v>1</v>
      </c>
      <c r="E66" t="b">
        <f t="shared" si="21"/>
        <v>1</v>
      </c>
      <c r="F66" t="b">
        <f t="shared" si="21"/>
        <v>1</v>
      </c>
      <c r="G66" t="b">
        <f t="shared" si="21"/>
        <v>1</v>
      </c>
      <c r="H66" t="b">
        <f t="shared" si="21"/>
        <v>1</v>
      </c>
      <c r="I66" t="b">
        <f t="shared" si="21"/>
        <v>1</v>
      </c>
      <c r="J66" t="b">
        <f t="shared" si="21"/>
        <v>1</v>
      </c>
      <c r="K66" t="b">
        <f t="shared" si="21"/>
        <v>1</v>
      </c>
      <c r="L66" t="b">
        <f t="shared" si="21"/>
        <v>1</v>
      </c>
      <c r="M66" t="b">
        <f t="shared" si="21"/>
        <v>1</v>
      </c>
    </row>
    <row r="68" spans="1:13" x14ac:dyDescent="0.35">
      <c r="A68" s="48" t="s">
        <v>122</v>
      </c>
      <c r="B68" s="49" t="s">
        <v>149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</row>
    <row r="69" spans="1:13" x14ac:dyDescent="0.35">
      <c r="B69" s="32" t="s">
        <v>153</v>
      </c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</row>
    <row r="70" spans="1:13" x14ac:dyDescent="0.35">
      <c r="B70" s="60" t="s">
        <v>129</v>
      </c>
      <c r="C70" s="66">
        <f>IFERROR(CFS!E5,0)</f>
        <v>38887</v>
      </c>
      <c r="D70" s="63">
        <f>IFERROR(CFS!F5,0)</f>
        <v>44170</v>
      </c>
      <c r="E70" s="63">
        <f>IFERROR(CFS!G5,0)</f>
        <v>62765</v>
      </c>
      <c r="F70" s="63">
        <f>IFERROR(CFS!H5,0)</f>
        <v>83319</v>
      </c>
      <c r="G70" s="63">
        <f>IFERROR(CFS!I5,0)</f>
        <v>85347</v>
      </c>
      <c r="H70" s="63">
        <f>IFERROR(CFS!J5,0)</f>
        <v>80129</v>
      </c>
      <c r="I70" s="63">
        <f>IFERROR(CFS!K5,0)</f>
        <v>113726</v>
      </c>
      <c r="J70" s="63">
        <f>IFERROR(CFS!L5,0)</f>
        <v>140963</v>
      </c>
      <c r="K70" s="63">
        <f>IFERROR(CFS!M5,0)</f>
        <v>164383</v>
      </c>
      <c r="L70" s="63">
        <f>IFERROR(CFS!N5,0)</f>
        <v>166904</v>
      </c>
      <c r="M70" s="63">
        <f>IFERROR(CFS!O5,0)</f>
        <v>0</v>
      </c>
    </row>
    <row r="71" spans="1:13" x14ac:dyDescent="0.35">
      <c r="B71" s="51" t="s">
        <v>78</v>
      </c>
      <c r="C71" s="61">
        <f>IFERROR(CFS!E6,0)</f>
        <v>-6880</v>
      </c>
      <c r="D71" s="61">
        <f>IFERROR(CFS!F6,0)</f>
        <v>-8511</v>
      </c>
      <c r="E71" s="61">
        <f>IFERROR(CFS!G6,0)</f>
        <v>-21991</v>
      </c>
      <c r="F71" s="61">
        <f>IFERROR(CFS!H6,0)</f>
        <v>-40136</v>
      </c>
      <c r="G71" s="61">
        <f>IFERROR(CFS!I6,0)</f>
        <v>-13792</v>
      </c>
      <c r="H71" s="61">
        <f>IFERROR(CFS!J6,0)</f>
        <v>959</v>
      </c>
      <c r="I71" s="61">
        <f>IFERROR(CFS!K6,0)</f>
        <v>-14180</v>
      </c>
      <c r="J71" s="61">
        <f>IFERROR(CFS!L6,0)</f>
        <v>13194</v>
      </c>
      <c r="K71" s="61">
        <f>IFERROR(CFS!M6,0)</f>
        <v>-15674</v>
      </c>
      <c r="L71" s="61">
        <f>IFERROR(CFS!N6,0)</f>
        <v>-17837</v>
      </c>
      <c r="M71" s="61">
        <f>IFERROR(CFS!O6,0)</f>
        <v>0</v>
      </c>
    </row>
    <row r="72" spans="1:13" x14ac:dyDescent="0.35">
      <c r="B72" s="51" t="s">
        <v>45</v>
      </c>
      <c r="C72" s="61">
        <f>IFERROR(CFS!E7,0)</f>
        <v>6758</v>
      </c>
      <c r="D72" s="61">
        <f>IFERROR(CFS!F7,0)</f>
        <v>-6899</v>
      </c>
      <c r="E72" s="61">
        <f>IFERROR(CFS!G7,0)</f>
        <v>-10474</v>
      </c>
      <c r="F72" s="61">
        <f>IFERROR(CFS!H7,0)</f>
        <v>-6724</v>
      </c>
      <c r="G72" s="61">
        <f>IFERROR(CFS!I7,0)</f>
        <v>-6342</v>
      </c>
      <c r="H72" s="61">
        <f>IFERROR(CFS!J7,0)</f>
        <v>-7769</v>
      </c>
      <c r="I72" s="61">
        <f>IFERROR(CFS!K7,0)</f>
        <v>-24983</v>
      </c>
      <c r="J72" s="61">
        <f>IFERROR(CFS!L7,0)</f>
        <v>-32228</v>
      </c>
      <c r="K72" s="61">
        <f>IFERROR(CFS!M7,0)</f>
        <v>-12756</v>
      </c>
      <c r="L72" s="61">
        <f>IFERROR(CFS!N7,0)</f>
        <v>3134</v>
      </c>
      <c r="M72" s="61">
        <f>IFERROR(CFS!O7,0)</f>
        <v>0</v>
      </c>
    </row>
    <row r="73" spans="1:13" x14ac:dyDescent="0.35">
      <c r="B73" s="51" t="s">
        <v>130</v>
      </c>
      <c r="C73" s="61">
        <f>IFERROR(CFS!E8,0)</f>
        <v>7951</v>
      </c>
      <c r="D73" s="61">
        <f>IFERROR(CFS!F8,0)</f>
        <v>30873</v>
      </c>
      <c r="E73" s="61">
        <f>IFERROR(CFS!G8,0)</f>
        <v>51003</v>
      </c>
      <c r="F73" s="61">
        <f>IFERROR(CFS!H8,0)</f>
        <v>18078</v>
      </c>
      <c r="G73" s="61">
        <f>IFERROR(CFS!I8,0)</f>
        <v>38050</v>
      </c>
      <c r="H73" s="61">
        <f>IFERROR(CFS!J8,0)</f>
        <v>-43148</v>
      </c>
      <c r="I73" s="61">
        <f>IFERROR(CFS!K8,0)</f>
        <v>39888</v>
      </c>
      <c r="J73" s="61">
        <f>IFERROR(CFS!L8,0)</f>
        <v>-600</v>
      </c>
      <c r="K73" s="61">
        <f>IFERROR(CFS!M8,0)</f>
        <v>34796</v>
      </c>
      <c r="L73" s="61">
        <f>IFERROR(CFS!N8,0)</f>
        <v>38427</v>
      </c>
      <c r="M73" s="61">
        <f>IFERROR(CFS!O8,0)</f>
        <v>0</v>
      </c>
    </row>
    <row r="74" spans="1:13" x14ac:dyDescent="0.35">
      <c r="B74" s="52" t="s">
        <v>131</v>
      </c>
      <c r="C74" s="61">
        <f>IFERROR(CFS!E9,0)</f>
        <v>7829</v>
      </c>
      <c r="D74" s="61">
        <f>IFERROR(CFS!F9,0)</f>
        <v>15463</v>
      </c>
      <c r="E74" s="61">
        <f>IFERROR(CFS!G9,0)</f>
        <v>18538</v>
      </c>
      <c r="F74" s="61">
        <f>IFERROR(CFS!H9,0)</f>
        <v>-28782</v>
      </c>
      <c r="G74" s="61">
        <f>IFERROR(CFS!I9,0)</f>
        <v>17916</v>
      </c>
      <c r="H74" s="61">
        <f>IFERROR(CFS!J9,0)</f>
        <v>-49958</v>
      </c>
      <c r="I74" s="61">
        <f>IFERROR(CFS!K9,0)</f>
        <v>725</v>
      </c>
      <c r="J74" s="61">
        <f>IFERROR(CFS!L9,0)</f>
        <v>-19634</v>
      </c>
      <c r="K74" s="61">
        <f>IFERROR(CFS!M9,0)</f>
        <v>6366</v>
      </c>
      <c r="L74" s="61">
        <f>IFERROR(CFS!N9,0)</f>
        <v>23724</v>
      </c>
      <c r="M74" s="61">
        <f>IFERROR(CFS!O9,0)</f>
        <v>0</v>
      </c>
    </row>
    <row r="75" spans="1:13" x14ac:dyDescent="0.35">
      <c r="B75" s="51" t="s">
        <v>132</v>
      </c>
      <c r="C75" s="61">
        <f>IFERROR(CFS!E10,0)</f>
        <v>-8582</v>
      </c>
      <c r="D75" s="61">
        <f>IFERROR(CFS!F10,0)</f>
        <v>-10083</v>
      </c>
      <c r="E75" s="61">
        <f>IFERROR(CFS!G10,0)</f>
        <v>-9844</v>
      </c>
      <c r="F75" s="61">
        <f>IFERROR(CFS!H10,0)</f>
        <v>-12191</v>
      </c>
      <c r="G75" s="61">
        <f>IFERROR(CFS!I10,0)</f>
        <v>-8386</v>
      </c>
      <c r="H75" s="61">
        <f>IFERROR(CFS!J10,0)</f>
        <v>-3213</v>
      </c>
      <c r="I75" s="61">
        <f>IFERROR(CFS!K10,0)</f>
        <v>-3797</v>
      </c>
      <c r="J75" s="61">
        <f>IFERROR(CFS!L10,0)</f>
        <v>-6297</v>
      </c>
      <c r="K75" s="61">
        <f>IFERROR(CFS!M10,0)</f>
        <v>-11961</v>
      </c>
      <c r="L75" s="61">
        <f>IFERROR(CFS!N10,0)</f>
        <v>-11925</v>
      </c>
      <c r="M75" s="61">
        <f>IFERROR(CFS!O10,0)</f>
        <v>0</v>
      </c>
    </row>
    <row r="76" spans="1:13" x14ac:dyDescent="0.35">
      <c r="B76" s="51" t="s">
        <v>154</v>
      </c>
      <c r="C76" s="64" t="s">
        <v>98</v>
      </c>
      <c r="D76" s="64" t="s">
        <v>98</v>
      </c>
      <c r="E76" s="64" t="s">
        <v>98</v>
      </c>
      <c r="F76" s="64" t="s">
        <v>98</v>
      </c>
      <c r="G76" s="64" t="s">
        <v>98</v>
      </c>
      <c r="H76" s="64" t="s">
        <v>98</v>
      </c>
      <c r="I76" s="64" t="s">
        <v>98</v>
      </c>
      <c r="J76" s="64" t="s">
        <v>98</v>
      </c>
      <c r="K76" s="64" t="s">
        <v>98</v>
      </c>
      <c r="L76" s="64" t="s">
        <v>98</v>
      </c>
      <c r="M76" s="63">
        <f>IFERROR(CFS!O11,0)</f>
        <v>0</v>
      </c>
    </row>
    <row r="77" spans="1:13" x14ac:dyDescent="0.35">
      <c r="B77" s="69" t="s">
        <v>32</v>
      </c>
      <c r="C77" s="73">
        <f>SUM(C70:C76)</f>
        <v>45963</v>
      </c>
      <c r="D77" s="73">
        <f t="shared" ref="D77:M77" si="22">SUM(D70:D76)</f>
        <v>65013</v>
      </c>
      <c r="E77" s="73">
        <f t="shared" si="22"/>
        <v>89997</v>
      </c>
      <c r="F77" s="73">
        <f t="shared" si="22"/>
        <v>13564</v>
      </c>
      <c r="G77" s="73">
        <f t="shared" si="22"/>
        <v>112793</v>
      </c>
      <c r="H77" s="73">
        <f t="shared" si="22"/>
        <v>-23000</v>
      </c>
      <c r="I77" s="73">
        <f t="shared" si="22"/>
        <v>111379</v>
      </c>
      <c r="J77" s="73">
        <f t="shared" si="22"/>
        <v>95398</v>
      </c>
      <c r="K77" s="73">
        <f t="shared" si="22"/>
        <v>165154</v>
      </c>
      <c r="L77" s="73">
        <f t="shared" si="22"/>
        <v>202427</v>
      </c>
      <c r="M77" s="73">
        <f t="shared" si="22"/>
        <v>0</v>
      </c>
    </row>
    <row r="78" spans="1:13" x14ac:dyDescent="0.35"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</row>
    <row r="79" spans="1:13" x14ac:dyDescent="0.35">
      <c r="B79" s="32" t="s">
        <v>155</v>
      </c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</row>
    <row r="80" spans="1:13" x14ac:dyDescent="0.35">
      <c r="B80" s="52" t="s">
        <v>133</v>
      </c>
      <c r="C80" s="61">
        <f>IFERROR(CFS!E12,0)</f>
        <v>-46898</v>
      </c>
      <c r="D80" s="61">
        <f>IFERROR(CFS!F12,0)</f>
        <v>-78109</v>
      </c>
      <c r="E80" s="61">
        <f>IFERROR(CFS!G12,0)</f>
        <v>-73953</v>
      </c>
      <c r="F80" s="61">
        <f>IFERROR(CFS!H12,0)</f>
        <v>-93626</v>
      </c>
      <c r="G80" s="61">
        <f>IFERROR(CFS!I12,0)</f>
        <v>-76517</v>
      </c>
      <c r="H80" s="61">
        <f>IFERROR(CFS!J12,0)</f>
        <v>-105837</v>
      </c>
      <c r="I80" s="61">
        <f>IFERROR(CFS!K12,0)</f>
        <v>-100145</v>
      </c>
      <c r="J80" s="61">
        <f>IFERROR(CFS!L12,0)</f>
        <v>-140988</v>
      </c>
      <c r="K80" s="61">
        <f>IFERROR(CFS!M12,0)</f>
        <v>-152883</v>
      </c>
      <c r="L80" s="61">
        <f>IFERROR(CFS!N12,0)</f>
        <v>-139967</v>
      </c>
      <c r="M80" s="61">
        <f>IFERROR(CFS!O12,0)</f>
        <v>0</v>
      </c>
    </row>
    <row r="81" spans="2:13" x14ac:dyDescent="0.35">
      <c r="B81" s="52" t="s">
        <v>134</v>
      </c>
      <c r="C81" s="61">
        <f>IFERROR(CFS!E13,0)</f>
        <v>344</v>
      </c>
      <c r="D81" s="61">
        <f>IFERROR(CFS!F13,0)</f>
        <v>1482</v>
      </c>
      <c r="E81" s="61">
        <f>IFERROR(CFS!G13,0)</f>
        <v>999</v>
      </c>
      <c r="F81" s="61">
        <f>IFERROR(CFS!H13,0)</f>
        <v>849</v>
      </c>
      <c r="G81" s="61">
        <f>IFERROR(CFS!I13,0)</f>
        <v>964</v>
      </c>
      <c r="H81" s="61">
        <f>IFERROR(CFS!J13,0)</f>
        <v>2319</v>
      </c>
      <c r="I81" s="61">
        <f>IFERROR(CFS!K13,0)</f>
        <v>3137</v>
      </c>
      <c r="J81" s="61">
        <f>IFERROR(CFS!L13,0)</f>
        <v>9186</v>
      </c>
      <c r="K81" s="61">
        <f>IFERROR(CFS!M13,0)</f>
        <v>15307</v>
      </c>
      <c r="L81" s="61">
        <f>IFERROR(CFS!N13,0)</f>
        <v>2343</v>
      </c>
      <c r="M81" s="61">
        <f>IFERROR(CFS!O13,0)</f>
        <v>0</v>
      </c>
    </row>
    <row r="82" spans="2:13" x14ac:dyDescent="0.35">
      <c r="B82" s="52" t="s">
        <v>135</v>
      </c>
      <c r="C82" s="61">
        <f>IFERROR(CFS!E14,0)</f>
        <v>-715334</v>
      </c>
      <c r="D82" s="61">
        <f>IFERROR(CFS!F14,0)</f>
        <v>-654760</v>
      </c>
      <c r="E82" s="61">
        <f>IFERROR(CFS!G14,0)</f>
        <v>-533984</v>
      </c>
      <c r="F82" s="61">
        <f>IFERROR(CFS!H14,0)</f>
        <v>-1107439</v>
      </c>
      <c r="G82" s="61">
        <f>IFERROR(CFS!I14,0)</f>
        <v>-1156843</v>
      </c>
      <c r="H82" s="61">
        <f>IFERROR(CFS!J14,0)</f>
        <v>-689866</v>
      </c>
      <c r="I82" s="61">
        <f>IFERROR(CFS!K14,0)</f>
        <v>-667878</v>
      </c>
      <c r="J82" s="61">
        <f>IFERROR(CFS!L14,0)</f>
        <v>-471822</v>
      </c>
      <c r="K82" s="61">
        <f>IFERROR(CFS!M14,0)</f>
        <v>-513660</v>
      </c>
      <c r="L82" s="61">
        <f>IFERROR(CFS!N14,0)</f>
        <v>-684340</v>
      </c>
      <c r="M82" s="61">
        <f>IFERROR(CFS!O14,0)</f>
        <v>0</v>
      </c>
    </row>
    <row r="83" spans="2:13" x14ac:dyDescent="0.35">
      <c r="B83" s="52" t="s">
        <v>136</v>
      </c>
      <c r="C83" s="61">
        <f>IFERROR(CFS!E15,0)</f>
        <v>721182</v>
      </c>
      <c r="D83" s="61">
        <f>IFERROR(CFS!F15,0)</f>
        <v>663990</v>
      </c>
      <c r="E83" s="61">
        <f>IFERROR(CFS!G15,0)</f>
        <v>537504</v>
      </c>
      <c r="F83" s="61">
        <f>IFERROR(CFS!H15,0)</f>
        <v>1103615</v>
      </c>
      <c r="G83" s="61">
        <f>IFERROR(CFS!I15,0)</f>
        <v>1174796</v>
      </c>
      <c r="H83" s="61">
        <f>IFERROR(CFS!J15,0)</f>
        <v>642551</v>
      </c>
      <c r="I83" s="61">
        <f>IFERROR(CFS!K15,0)</f>
        <v>668137</v>
      </c>
      <c r="J83" s="61">
        <f>IFERROR(CFS!L15,0)</f>
        <v>501266</v>
      </c>
      <c r="K83" s="61">
        <f>IFERROR(CFS!M15,0)</f>
        <v>531355</v>
      </c>
      <c r="L83" s="61">
        <f>IFERROR(CFS!N15,0)</f>
        <v>672558</v>
      </c>
      <c r="M83" s="61">
        <f>IFERROR(CFS!O15,0)</f>
        <v>0</v>
      </c>
    </row>
    <row r="84" spans="2:13" x14ac:dyDescent="0.35">
      <c r="B84" s="52" t="s">
        <v>137</v>
      </c>
      <c r="C84" s="61">
        <f>IFERROR(CFS!E16,0)</f>
        <v>2942</v>
      </c>
      <c r="D84" s="61">
        <f>IFERROR(CFS!F16,0)</f>
        <v>1110</v>
      </c>
      <c r="E84" s="61">
        <f>IFERROR(CFS!G16,0)</f>
        <v>1310</v>
      </c>
      <c r="F84" s="61">
        <f>IFERROR(CFS!H16,0)</f>
        <v>972</v>
      </c>
      <c r="G84" s="61">
        <f>IFERROR(CFS!I16,0)</f>
        <v>1441</v>
      </c>
      <c r="H84" s="61">
        <f>IFERROR(CFS!J16,0)</f>
        <v>8400</v>
      </c>
      <c r="I84" s="61">
        <f>IFERROR(CFS!K16,0)</f>
        <v>5933</v>
      </c>
      <c r="J84" s="61">
        <f>IFERROR(CFS!L16,0)</f>
        <v>11103</v>
      </c>
      <c r="K84" s="61">
        <f>IFERROR(CFS!M16,0)</f>
        <v>10648</v>
      </c>
      <c r="L84" s="61">
        <f>IFERROR(CFS!N16,0)</f>
        <v>15833</v>
      </c>
      <c r="M84" s="61">
        <f>IFERROR(CFS!O16,0)</f>
        <v>0</v>
      </c>
    </row>
    <row r="85" spans="2:13" x14ac:dyDescent="0.35">
      <c r="B85" s="52" t="s">
        <v>138</v>
      </c>
      <c r="C85" s="61">
        <f>IFERROR(CFS!E17,0)</f>
        <v>732</v>
      </c>
      <c r="D85" s="61">
        <f>IFERROR(CFS!F17,0)</f>
        <v>345</v>
      </c>
      <c r="E85" s="61">
        <f>IFERROR(CFS!G17,0)</f>
        <v>1021</v>
      </c>
      <c r="F85" s="61">
        <f>IFERROR(CFS!H17,0)</f>
        <v>501</v>
      </c>
      <c r="G85" s="61">
        <f>IFERROR(CFS!I17,0)</f>
        <v>78</v>
      </c>
      <c r="H85" s="61">
        <f>IFERROR(CFS!J17,0)</f>
        <v>26</v>
      </c>
      <c r="I85" s="61">
        <f>IFERROR(CFS!K17,0)</f>
        <v>19</v>
      </c>
      <c r="J85" s="61">
        <f>IFERROR(CFS!L17,0)</f>
        <v>20</v>
      </c>
      <c r="K85" s="61">
        <f>IFERROR(CFS!M17,0)</f>
        <v>75</v>
      </c>
      <c r="L85" s="61">
        <f>IFERROR(CFS!N17,0)</f>
        <v>612</v>
      </c>
      <c r="M85" s="61">
        <f>IFERROR(CFS!O17,0)</f>
        <v>0</v>
      </c>
    </row>
    <row r="86" spans="2:13" x14ac:dyDescent="0.35">
      <c r="B86" s="52" t="s">
        <v>139</v>
      </c>
      <c r="C86" s="61">
        <f>IFERROR(CFS!E18,0)</f>
        <v>846</v>
      </c>
      <c r="D86" s="61">
        <f>IFERROR(CFS!F18,0)</f>
        <v>-259</v>
      </c>
      <c r="E86" s="61">
        <f>IFERROR(CFS!G18,0)</f>
        <v>-1089</v>
      </c>
      <c r="F86" s="61">
        <f>IFERROR(CFS!H18,0)</f>
        <v>621</v>
      </c>
      <c r="G86" s="61">
        <f>IFERROR(CFS!I18,0)</f>
        <v>-16416</v>
      </c>
      <c r="H86" s="61">
        <f>IFERROR(CFS!J18,0)</f>
        <v>22</v>
      </c>
      <c r="I86" s="61">
        <f>IFERROR(CFS!K18,0)</f>
        <v>-18365</v>
      </c>
      <c r="J86" s="61">
        <f>IFERROR(CFS!L18,0)</f>
        <v>-1766</v>
      </c>
      <c r="K86" s="61">
        <f>IFERROR(CFS!M18,0)</f>
        <v>-4423</v>
      </c>
      <c r="L86" s="61">
        <f>IFERROR(CFS!N18,0)</f>
        <v>-4574</v>
      </c>
      <c r="M86" s="61">
        <f>IFERROR(CFS!O18,0)</f>
        <v>0</v>
      </c>
    </row>
    <row r="87" spans="2:13" x14ac:dyDescent="0.35">
      <c r="B87" s="69" t="s">
        <v>33</v>
      </c>
      <c r="C87" s="73">
        <f>SUM(C80:C86)</f>
        <v>-36186</v>
      </c>
      <c r="D87" s="73">
        <f t="shared" ref="D87:L87" si="23">SUM(D80:D86)</f>
        <v>-66201</v>
      </c>
      <c r="E87" s="73">
        <f t="shared" si="23"/>
        <v>-68192</v>
      </c>
      <c r="F87" s="73">
        <f t="shared" si="23"/>
        <v>-94507</v>
      </c>
      <c r="G87" s="73">
        <f t="shared" si="23"/>
        <v>-72497</v>
      </c>
      <c r="H87" s="73">
        <f t="shared" si="23"/>
        <v>-142385</v>
      </c>
      <c r="I87" s="73">
        <f t="shared" si="23"/>
        <v>-109162</v>
      </c>
      <c r="J87" s="73">
        <f t="shared" si="23"/>
        <v>-93001</v>
      </c>
      <c r="K87" s="73">
        <f t="shared" si="23"/>
        <v>-113581</v>
      </c>
      <c r="L87" s="73">
        <f t="shared" si="23"/>
        <v>-137535</v>
      </c>
      <c r="M87" s="73">
        <f>IFERROR(CFS!O19,0)</f>
        <v>0</v>
      </c>
    </row>
    <row r="88" spans="2:13" x14ac:dyDescent="0.35"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</row>
    <row r="89" spans="2:13" x14ac:dyDescent="0.35">
      <c r="B89" s="32" t="s">
        <v>156</v>
      </c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</row>
    <row r="90" spans="2:13" x14ac:dyDescent="0.35">
      <c r="B90" s="52" t="s">
        <v>140</v>
      </c>
      <c r="C90" s="61">
        <f>IFERROR(CFS!E20,0)</f>
        <v>288</v>
      </c>
      <c r="D90" s="61">
        <f>IFERROR(CFS!F20,0)</f>
        <v>811</v>
      </c>
      <c r="E90" s="61">
        <f>IFERROR(CFS!G20,0)</f>
        <v>406</v>
      </c>
      <c r="F90" s="61">
        <f>IFERROR(CFS!H20,0)</f>
        <v>230</v>
      </c>
      <c r="G90" s="61">
        <f>IFERROR(CFS!I20,0)</f>
        <v>129</v>
      </c>
      <c r="H90" s="61">
        <f>IFERROR(CFS!J20,0)</f>
        <v>5</v>
      </c>
      <c r="I90" s="61">
        <f>IFERROR(CFS!K20,0)</f>
        <v>455</v>
      </c>
      <c r="J90" s="61">
        <f>IFERROR(CFS!L20,0)</f>
        <v>479</v>
      </c>
      <c r="K90" s="61">
        <f>IFERROR(CFS!M20,0)</f>
        <v>20915</v>
      </c>
      <c r="L90" s="61">
        <f>IFERROR(CFS!N20,0)</f>
        <v>0</v>
      </c>
      <c r="M90" s="61">
        <f>IFERROR(CFS!O20,0)</f>
        <v>0</v>
      </c>
    </row>
    <row r="91" spans="2:13" x14ac:dyDescent="0.35">
      <c r="B91" s="52" t="s">
        <v>141</v>
      </c>
      <c r="C91" s="61">
        <f>IFERROR(CFS!E21,0)</f>
        <v>34673</v>
      </c>
      <c r="D91" s="61">
        <f>IFERROR(CFS!F21,0)</f>
        <v>31728</v>
      </c>
      <c r="E91" s="61">
        <f>IFERROR(CFS!G21,0)</f>
        <v>36970</v>
      </c>
      <c r="F91" s="61">
        <f>IFERROR(CFS!H21,0)</f>
        <v>106701</v>
      </c>
      <c r="G91" s="61">
        <f>IFERROR(CFS!I21,0)</f>
        <v>53760</v>
      </c>
      <c r="H91" s="61">
        <f>IFERROR(CFS!J21,0)</f>
        <v>46421</v>
      </c>
      <c r="I91" s="61">
        <f>IFERROR(CFS!K21,0)</f>
        <v>59343</v>
      </c>
      <c r="J91" s="61">
        <f>IFERROR(CFS!L21,0)</f>
        <v>67134</v>
      </c>
      <c r="K91" s="61">
        <f>IFERROR(CFS!M21,0)</f>
        <v>69610</v>
      </c>
      <c r="L91" s="61">
        <f>IFERROR(CFS!N21,0)</f>
        <v>51002</v>
      </c>
      <c r="M91" s="61">
        <f>IFERROR(CFS!O21,0)</f>
        <v>0</v>
      </c>
    </row>
    <row r="92" spans="2:13" x14ac:dyDescent="0.35">
      <c r="B92" s="52" t="s">
        <v>142</v>
      </c>
      <c r="C92" s="61">
        <f>IFERROR(CFS!E22,0)</f>
        <v>-21693</v>
      </c>
      <c r="D92" s="61">
        <f>IFERROR(CFS!F22,0)</f>
        <v>-18542</v>
      </c>
      <c r="E92" s="61">
        <f>IFERROR(CFS!G22,0)</f>
        <v>-19813</v>
      </c>
      <c r="F92" s="61">
        <f>IFERROR(CFS!H22,0)</f>
        <v>-20245</v>
      </c>
      <c r="G92" s="61">
        <f>IFERROR(CFS!I22,0)</f>
        <v>-18179</v>
      </c>
      <c r="H92" s="61">
        <f>IFERROR(CFS!J22,0)</f>
        <v>-116921</v>
      </c>
      <c r="I92" s="61">
        <f>IFERROR(CFS!K22,0)</f>
        <v>-49493</v>
      </c>
      <c r="J92" s="61">
        <f>IFERROR(CFS!L22,0)</f>
        <v>-29059</v>
      </c>
      <c r="K92" s="61">
        <f>IFERROR(CFS!M22,0)</f>
        <v>-60348</v>
      </c>
      <c r="L92" s="61">
        <f>IFERROR(CFS!N22,0)</f>
        <v>-31755</v>
      </c>
      <c r="M92" s="61">
        <f>IFERROR(CFS!O22,0)</f>
        <v>0</v>
      </c>
    </row>
    <row r="93" spans="2:13" x14ac:dyDescent="0.35">
      <c r="B93" s="52" t="s">
        <v>143</v>
      </c>
      <c r="C93" s="61">
        <f>IFERROR(CFS!E23,0)</f>
        <v>-9224</v>
      </c>
      <c r="D93" s="61">
        <f>IFERROR(CFS!F23,0)</f>
        <v>-12920</v>
      </c>
      <c r="E93" s="61">
        <f>IFERROR(CFS!G23,0)</f>
        <v>-17669</v>
      </c>
      <c r="F93" s="61">
        <f>IFERROR(CFS!H23,0)</f>
        <v>-23338</v>
      </c>
      <c r="G93" s="61">
        <f>IFERROR(CFS!I23,0)</f>
        <v>-28508</v>
      </c>
      <c r="H93" s="61">
        <f>IFERROR(CFS!J23,0)</f>
        <v>-18340</v>
      </c>
      <c r="I93" s="61">
        <f>IFERROR(CFS!K23,0)</f>
        <v>-26349</v>
      </c>
      <c r="J93" s="61">
        <f>IFERROR(CFS!L23,0)</f>
        <v>-21650</v>
      </c>
      <c r="K93" s="61">
        <f>IFERROR(CFS!M23,0)</f>
        <v>-37173</v>
      </c>
      <c r="L93" s="61">
        <f>IFERROR(CFS!N23,0)</f>
        <v>-41024</v>
      </c>
      <c r="M93" s="61">
        <f>IFERROR(CFS!O23,0)</f>
        <v>0</v>
      </c>
    </row>
    <row r="94" spans="2:13" x14ac:dyDescent="0.35">
      <c r="B94" s="52" t="s">
        <v>144</v>
      </c>
      <c r="C94" s="61">
        <f>IFERROR(CFS!E24,0)</f>
        <v>-7259</v>
      </c>
      <c r="D94" s="61">
        <f>IFERROR(CFS!F24,0)</f>
        <v>-53</v>
      </c>
      <c r="E94" s="61">
        <f>IFERROR(CFS!G24,0)</f>
        <v>-3916</v>
      </c>
      <c r="F94" s="61">
        <f>IFERROR(CFS!H24,0)</f>
        <v>-4282</v>
      </c>
      <c r="G94" s="61">
        <f>IFERROR(CFS!I24,0)</f>
        <v>-4592</v>
      </c>
      <c r="H94" s="61">
        <f>IFERROR(CFS!J24,0)</f>
        <v>-3921</v>
      </c>
      <c r="I94" s="61">
        <f>IFERROR(CFS!K24,0)</f>
        <v>-4297</v>
      </c>
      <c r="J94" s="61">
        <f>IFERROR(CFS!L24,0)</f>
        <v>-5083</v>
      </c>
      <c r="K94" s="61">
        <f>IFERROR(CFS!M24,0)</f>
        <v>-6089</v>
      </c>
      <c r="L94" s="61">
        <f>IFERROR(CFS!N24,0)</f>
        <v>-7180</v>
      </c>
      <c r="M94" s="61">
        <f>IFERROR(CFS!O24,0)</f>
        <v>0</v>
      </c>
    </row>
    <row r="95" spans="2:13" x14ac:dyDescent="0.35">
      <c r="B95" s="52" t="s">
        <v>145</v>
      </c>
      <c r="C95" s="61">
        <f>IFERROR(CFS!E25,0)</f>
        <v>0</v>
      </c>
      <c r="D95" s="61">
        <f>IFERROR(CFS!F25,0)</f>
        <v>0</v>
      </c>
      <c r="E95" s="61">
        <f>IFERROR(CFS!G25,0)</f>
        <v>0</v>
      </c>
      <c r="F95" s="61">
        <f>IFERROR(CFS!H25,0)</f>
        <v>0</v>
      </c>
      <c r="G95" s="61">
        <f>IFERROR(CFS!I25,0)</f>
        <v>-1062</v>
      </c>
      <c r="H95" s="61">
        <f>IFERROR(CFS!J25,0)</f>
        <v>-1022</v>
      </c>
      <c r="I95" s="61">
        <f>IFERROR(CFS!K25,0)</f>
        <v>-2132</v>
      </c>
      <c r="J95" s="61">
        <f>IFERROR(CFS!L25,0)</f>
        <v>-1406</v>
      </c>
      <c r="K95" s="61">
        <f>IFERROR(CFS!M25,0)</f>
        <v>-2483</v>
      </c>
      <c r="L95" s="61">
        <f>IFERROR(CFS!N25,0)</f>
        <v>-2956</v>
      </c>
      <c r="M95" s="61">
        <f>IFERROR(CFS!O25,0)</f>
        <v>0</v>
      </c>
    </row>
    <row r="96" spans="2:13" x14ac:dyDescent="0.35">
      <c r="B96" s="52" t="s">
        <v>146</v>
      </c>
      <c r="C96" s="61">
        <f>IFERROR(CFS!E26,0)</f>
        <v>8</v>
      </c>
      <c r="D96" s="61">
        <f>IFERROR(CFS!F26,0)</f>
        <v>4</v>
      </c>
      <c r="E96" s="61">
        <f>IFERROR(CFS!G26,0)</f>
        <v>15</v>
      </c>
      <c r="F96" s="61">
        <f>IFERROR(CFS!H26,0)</f>
        <v>2</v>
      </c>
      <c r="G96" s="61">
        <f>IFERROR(CFS!I26,0)</f>
        <v>1</v>
      </c>
      <c r="H96" s="61">
        <f>IFERROR(CFS!J26,0)</f>
        <v>0</v>
      </c>
      <c r="I96" s="61">
        <f>IFERROR(CFS!K26,0)</f>
        <v>0</v>
      </c>
      <c r="J96" s="61">
        <f>IFERROR(CFS!L26,0)</f>
        <v>0</v>
      </c>
      <c r="K96" s="61">
        <f>IFERROR(CFS!M26,0)</f>
        <v>0</v>
      </c>
      <c r="L96" s="61">
        <f>IFERROR(CFS!N26,0)</f>
        <v>0</v>
      </c>
      <c r="M96" s="61">
        <f>IFERROR(CFS!O26,0)</f>
        <v>0</v>
      </c>
    </row>
    <row r="97" spans="2:15" x14ac:dyDescent="0.35">
      <c r="B97" s="52" t="s">
        <v>147</v>
      </c>
      <c r="C97" s="61">
        <f>IFERROR(CFS!E27,0)</f>
        <v>-3</v>
      </c>
      <c r="D97" s="61">
        <f>IFERROR(CFS!F27,0)</f>
        <v>7589</v>
      </c>
      <c r="E97" s="61">
        <f>IFERROR(CFS!G27,0)</f>
        <v>2006</v>
      </c>
      <c r="F97" s="61">
        <f>IFERROR(CFS!H27,0)</f>
        <v>-3162</v>
      </c>
      <c r="G97" s="61">
        <f>IFERROR(CFS!I27,0)</f>
        <v>-4090</v>
      </c>
      <c r="H97" s="61">
        <f>IFERROR(CFS!J27,0)</f>
        <v>195682</v>
      </c>
      <c r="I97" s="61">
        <f>IFERROR(CFS!K27,0)</f>
        <v>39762</v>
      </c>
      <c r="J97" s="61">
        <f>IFERROR(CFS!L27,0)</f>
        <v>40</v>
      </c>
      <c r="K97" s="61">
        <f>IFERROR(CFS!M27,0)</f>
        <v>-1078</v>
      </c>
      <c r="L97" s="61">
        <f>IFERROR(CFS!N27,0)</f>
        <v>22</v>
      </c>
      <c r="M97" s="61">
        <f>IFERROR(CFS!O27,0)</f>
        <v>0</v>
      </c>
    </row>
    <row r="98" spans="2:15" x14ac:dyDescent="0.35">
      <c r="B98" s="69" t="s">
        <v>34</v>
      </c>
      <c r="C98" s="65">
        <f>SUM(C90:C97)</f>
        <v>-3210</v>
      </c>
      <c r="D98" s="65">
        <f t="shared" ref="D98:M98" si="24">SUM(D90:D97)</f>
        <v>8617</v>
      </c>
      <c r="E98" s="65">
        <f t="shared" si="24"/>
        <v>-2001</v>
      </c>
      <c r="F98" s="65">
        <f t="shared" si="24"/>
        <v>55906</v>
      </c>
      <c r="G98" s="65">
        <f t="shared" si="24"/>
        <v>-2541</v>
      </c>
      <c r="H98" s="65">
        <f t="shared" si="24"/>
        <v>101904</v>
      </c>
      <c r="I98" s="65">
        <f t="shared" si="24"/>
        <v>17289</v>
      </c>
      <c r="J98" s="65">
        <f t="shared" si="24"/>
        <v>10455</v>
      </c>
      <c r="K98" s="65">
        <f t="shared" si="24"/>
        <v>-16646</v>
      </c>
      <c r="L98" s="65">
        <f t="shared" si="24"/>
        <v>-31891</v>
      </c>
      <c r="M98" s="65">
        <f t="shared" si="24"/>
        <v>0</v>
      </c>
      <c r="N98" s="65"/>
      <c r="O98" s="65"/>
    </row>
    <row r="99" spans="2:15" x14ac:dyDescent="0.35"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</row>
    <row r="100" spans="2:15" x14ac:dyDescent="0.35">
      <c r="B100" s="69" t="s">
        <v>35</v>
      </c>
      <c r="C100" s="73">
        <f>SUM(C77,C87,C98)</f>
        <v>6567</v>
      </c>
      <c r="D100" s="73">
        <f t="shared" ref="D100:N100" si="25">SUM(D77,D87,D98)</f>
        <v>7429</v>
      </c>
      <c r="E100" s="73">
        <f t="shared" si="25"/>
        <v>19804</v>
      </c>
      <c r="F100" s="73">
        <f t="shared" si="25"/>
        <v>-25037</v>
      </c>
      <c r="G100" s="73">
        <f t="shared" si="25"/>
        <v>37755</v>
      </c>
      <c r="H100" s="73">
        <f t="shared" si="25"/>
        <v>-63481</v>
      </c>
      <c r="I100" s="73">
        <f t="shared" si="25"/>
        <v>19506</v>
      </c>
      <c r="J100" s="73">
        <f t="shared" si="25"/>
        <v>12852</v>
      </c>
      <c r="K100" s="73">
        <f t="shared" si="25"/>
        <v>34927</v>
      </c>
      <c r="L100" s="73">
        <f t="shared" si="25"/>
        <v>33001</v>
      </c>
      <c r="M100" s="73">
        <f t="shared" si="25"/>
        <v>0</v>
      </c>
      <c r="N100" s="73">
        <f t="shared" si="25"/>
        <v>0</v>
      </c>
    </row>
    <row r="101" spans="2:15" x14ac:dyDescent="0.35"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</row>
  </sheetData>
  <mergeCells count="2">
    <mergeCell ref="B1:G1"/>
    <mergeCell ref="B3:D3"/>
  </mergeCells>
  <pageMargins left="0.7" right="0.7" top="0.75" bottom="0.75" header="0.3" footer="0.3"/>
  <pageSetup orientation="portrait" r:id="rId1"/>
  <ignoredErrors>
    <ignoredError sqref="M7 M19 M4 M22 C5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84" zoomScaleNormal="84" zoomScalePageLayoutView="120" workbookViewId="0">
      <pane xSplit="1" ySplit="1" topLeftCell="B17" activePane="bottomRight" state="frozen"/>
      <selection activeCell="C4" sqref="C4"/>
      <selection pane="topRight" activeCell="C4" sqref="C4"/>
      <selection pane="bottomLeft" activeCell="C4" sqref="C4"/>
      <selection pane="bottomRight" activeCell="B31" sqref="B31"/>
    </sheetView>
  </sheetViews>
  <sheetFormatPr defaultColWidth="8.81640625" defaultRowHeight="14.5" x14ac:dyDescent="0.35"/>
  <cols>
    <col min="1" max="1" width="27.6328125" style="5" bestFit="1" customWidth="1"/>
    <col min="2" max="11" width="13.453125" style="5" bestFit="1" customWidth="1"/>
    <col min="12" max="16384" width="8.81640625" style="5"/>
  </cols>
  <sheetData>
    <row r="1" spans="1:11" s="1" customFormat="1" x14ac:dyDescent="0.35">
      <c r="A1" s="1" t="s">
        <v>0</v>
      </c>
      <c r="B1" s="1" t="s">
        <v>63</v>
      </c>
      <c r="E1" s="204" t="str">
        <f>IF(B2&lt;&gt;B3, "A NEW VERSION OF THE WORKSHEET IS AVAILABLE", "")</f>
        <v/>
      </c>
      <c r="F1" s="204"/>
      <c r="G1" s="204"/>
      <c r="H1" s="204"/>
      <c r="I1" s="204"/>
      <c r="J1" s="204"/>
      <c r="K1" s="204"/>
    </row>
    <row r="2" spans="1:11" x14ac:dyDescent="0.35">
      <c r="A2" s="1" t="s">
        <v>61</v>
      </c>
      <c r="B2" s="5">
        <v>2.1</v>
      </c>
      <c r="E2" s="205" t="s">
        <v>36</v>
      </c>
      <c r="F2" s="205"/>
      <c r="G2" s="205"/>
      <c r="H2" s="205"/>
      <c r="I2" s="205"/>
      <c r="J2" s="205"/>
      <c r="K2" s="205"/>
    </row>
    <row r="3" spans="1:11" x14ac:dyDescent="0.35">
      <c r="A3" s="1" t="s">
        <v>62</v>
      </c>
      <c r="B3" s="5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5" t="s">
        <v>42</v>
      </c>
      <c r="B6" s="5">
        <f>IF(B9&gt;0, B9/B8, 0)</f>
        <v>1353.1556580396477</v>
      </c>
    </row>
    <row r="7" spans="1:11" x14ac:dyDescent="0.35">
      <c r="A7" s="5" t="s">
        <v>31</v>
      </c>
      <c r="B7">
        <v>10</v>
      </c>
    </row>
    <row r="8" spans="1:11" x14ac:dyDescent="0.35">
      <c r="A8" s="5" t="s">
        <v>43</v>
      </c>
      <c r="B8">
        <v>1452.8</v>
      </c>
    </row>
    <row r="9" spans="1:11" x14ac:dyDescent="0.35">
      <c r="A9" s="5" t="s">
        <v>79</v>
      </c>
      <c r="B9">
        <v>1965864.54</v>
      </c>
    </row>
    <row r="15" spans="1:11" x14ac:dyDescent="0.35">
      <c r="A15" s="1" t="s">
        <v>37</v>
      </c>
    </row>
    <row r="16" spans="1:11" s="24" customFormat="1" x14ac:dyDescent="0.35">
      <c r="A16" s="23" t="s">
        <v>38</v>
      </c>
      <c r="B16" s="16">
        <v>42460</v>
      </c>
      <c r="C16" s="16">
        <v>42825</v>
      </c>
      <c r="D16" s="16">
        <v>43190</v>
      </c>
      <c r="E16" s="16">
        <v>43555</v>
      </c>
      <c r="F16" s="16">
        <v>43921</v>
      </c>
      <c r="G16" s="16">
        <v>44286</v>
      </c>
      <c r="H16" s="16">
        <v>44651</v>
      </c>
      <c r="I16" s="16">
        <v>45016</v>
      </c>
      <c r="J16" s="16">
        <v>45382</v>
      </c>
      <c r="K16" s="16">
        <v>45747</v>
      </c>
    </row>
    <row r="17" spans="1:11" s="9" customFormat="1" x14ac:dyDescent="0.35">
      <c r="A17" s="9" t="s">
        <v>6</v>
      </c>
      <c r="B17">
        <v>272583</v>
      </c>
      <c r="C17">
        <v>303954</v>
      </c>
      <c r="D17">
        <v>390823</v>
      </c>
      <c r="E17">
        <v>568337</v>
      </c>
      <c r="F17">
        <v>596679</v>
      </c>
      <c r="G17">
        <v>466307</v>
      </c>
      <c r="H17">
        <v>694673</v>
      </c>
      <c r="I17">
        <v>876396</v>
      </c>
      <c r="J17">
        <v>899041</v>
      </c>
      <c r="K17">
        <v>962820</v>
      </c>
    </row>
    <row r="18" spans="1:11" s="9" customFormat="1" x14ac:dyDescent="0.35">
      <c r="A18" s="5" t="s">
        <v>80</v>
      </c>
      <c r="B18">
        <v>186254</v>
      </c>
      <c r="C18">
        <v>217518</v>
      </c>
      <c r="D18">
        <v>276076</v>
      </c>
      <c r="E18">
        <v>399167</v>
      </c>
      <c r="F18">
        <v>410288</v>
      </c>
      <c r="G18">
        <v>301765</v>
      </c>
      <c r="H18">
        <v>494449</v>
      </c>
      <c r="I18">
        <v>618746</v>
      </c>
      <c r="J18">
        <v>590226</v>
      </c>
      <c r="K18">
        <v>644813</v>
      </c>
    </row>
    <row r="19" spans="1:11" s="9" customFormat="1" x14ac:dyDescent="0.35">
      <c r="A19" s="5" t="s">
        <v>81</v>
      </c>
      <c r="B19">
        <v>-2560</v>
      </c>
      <c r="C19">
        <v>5218</v>
      </c>
      <c r="D19">
        <v>8610</v>
      </c>
      <c r="E19">
        <v>4680</v>
      </c>
      <c r="F19">
        <v>5048</v>
      </c>
      <c r="G19">
        <v>9064</v>
      </c>
      <c r="H19">
        <v>21457</v>
      </c>
      <c r="I19">
        <v>30263</v>
      </c>
      <c r="J19">
        <v>4883</v>
      </c>
      <c r="K19">
        <v>15124</v>
      </c>
    </row>
    <row r="20" spans="1:11" s="9" customFormat="1" x14ac:dyDescent="0.35">
      <c r="A20" s="5" t="s">
        <v>82</v>
      </c>
      <c r="B20">
        <v>10741</v>
      </c>
      <c r="C20">
        <v>11251</v>
      </c>
      <c r="D20">
        <v>14569</v>
      </c>
      <c r="E20">
        <v>17029</v>
      </c>
      <c r="F20">
        <v>15098</v>
      </c>
      <c r="G20">
        <v>13214</v>
      </c>
      <c r="H20">
        <v>17902</v>
      </c>
      <c r="I20">
        <v>25062</v>
      </c>
      <c r="J20">
        <v>22137</v>
      </c>
      <c r="K20">
        <v>23823</v>
      </c>
    </row>
    <row r="21" spans="1:11" s="9" customFormat="1" x14ac:dyDescent="0.35">
      <c r="A21" s="5" t="s">
        <v>83</v>
      </c>
      <c r="B21">
        <v>8272</v>
      </c>
      <c r="C21">
        <v>9909</v>
      </c>
      <c r="D21">
        <v>9691</v>
      </c>
      <c r="E21">
        <v>12198</v>
      </c>
      <c r="F21">
        <v>11434</v>
      </c>
      <c r="G21">
        <v>7687</v>
      </c>
      <c r="H21">
        <v>12174</v>
      </c>
      <c r="I21">
        <v>19658</v>
      </c>
      <c r="J21">
        <v>18276</v>
      </c>
      <c r="K21">
        <v>18358</v>
      </c>
    </row>
    <row r="22" spans="1:11" s="9" customFormat="1" x14ac:dyDescent="0.35">
      <c r="A22" s="5" t="s">
        <v>84</v>
      </c>
      <c r="B22">
        <v>7407</v>
      </c>
      <c r="C22">
        <v>8388</v>
      </c>
      <c r="D22">
        <v>9523</v>
      </c>
      <c r="E22">
        <v>12488</v>
      </c>
      <c r="F22">
        <v>14075</v>
      </c>
      <c r="G22">
        <v>14817</v>
      </c>
      <c r="H22">
        <v>18758</v>
      </c>
      <c r="I22">
        <v>24872</v>
      </c>
      <c r="J22">
        <v>25679</v>
      </c>
      <c r="K22">
        <v>28559</v>
      </c>
    </row>
    <row r="23" spans="1:11" s="9" customFormat="1" x14ac:dyDescent="0.35">
      <c r="A23" s="5" t="s">
        <v>85</v>
      </c>
      <c r="B23">
        <v>18808</v>
      </c>
      <c r="C23">
        <v>18520</v>
      </c>
      <c r="D23">
        <v>29111</v>
      </c>
      <c r="E23">
        <v>50221</v>
      </c>
      <c r="F23">
        <v>62622</v>
      </c>
      <c r="G23">
        <v>56154</v>
      </c>
      <c r="H23">
        <v>63513</v>
      </c>
      <c r="I23">
        <v>67369</v>
      </c>
      <c r="J23">
        <v>77292</v>
      </c>
      <c r="K23">
        <v>88760</v>
      </c>
    </row>
    <row r="24" spans="1:11" s="9" customFormat="1" x14ac:dyDescent="0.35">
      <c r="A24" s="5" t="s">
        <v>86</v>
      </c>
      <c r="B24">
        <v>-3240</v>
      </c>
      <c r="C24">
        <v>-2721</v>
      </c>
      <c r="D24">
        <v>-3852</v>
      </c>
      <c r="E24">
        <v>-2336</v>
      </c>
      <c r="F24">
        <v>-1056</v>
      </c>
      <c r="G24">
        <v>944</v>
      </c>
      <c r="H24">
        <v>753</v>
      </c>
      <c r="I24">
        <v>8634</v>
      </c>
      <c r="J24">
        <v>7816</v>
      </c>
      <c r="K24">
        <v>8033</v>
      </c>
    </row>
    <row r="25" spans="1:11" s="9" customFormat="1" x14ac:dyDescent="0.35">
      <c r="A25" s="9" t="s">
        <v>9</v>
      </c>
      <c r="B25">
        <v>12212</v>
      </c>
      <c r="C25">
        <v>9222</v>
      </c>
      <c r="D25">
        <v>9869</v>
      </c>
      <c r="E25">
        <v>8406</v>
      </c>
      <c r="F25">
        <v>8570</v>
      </c>
      <c r="G25">
        <v>22432</v>
      </c>
      <c r="H25">
        <v>19600</v>
      </c>
      <c r="I25">
        <v>12020</v>
      </c>
      <c r="J25">
        <v>15792</v>
      </c>
      <c r="K25">
        <v>17824</v>
      </c>
    </row>
    <row r="26" spans="1:11" s="9" customFormat="1" x14ac:dyDescent="0.35">
      <c r="A26" s="9" t="s">
        <v>10</v>
      </c>
      <c r="B26">
        <v>11565</v>
      </c>
      <c r="C26">
        <v>11646</v>
      </c>
      <c r="D26">
        <v>16706</v>
      </c>
      <c r="E26">
        <v>20934</v>
      </c>
      <c r="F26">
        <v>22203</v>
      </c>
      <c r="G26">
        <v>26572</v>
      </c>
      <c r="H26">
        <v>29782</v>
      </c>
      <c r="I26">
        <v>40303</v>
      </c>
      <c r="J26">
        <v>50832</v>
      </c>
      <c r="K26">
        <v>53136</v>
      </c>
    </row>
    <row r="27" spans="1:11" s="9" customFormat="1" x14ac:dyDescent="0.35">
      <c r="A27" s="9" t="s">
        <v>11</v>
      </c>
      <c r="B27">
        <v>3691</v>
      </c>
      <c r="C27">
        <v>3849</v>
      </c>
      <c r="D27">
        <v>8052</v>
      </c>
      <c r="E27">
        <v>16495</v>
      </c>
      <c r="F27">
        <v>22027</v>
      </c>
      <c r="G27">
        <v>21189</v>
      </c>
      <c r="H27">
        <v>14584</v>
      </c>
      <c r="I27">
        <v>19571</v>
      </c>
      <c r="J27">
        <v>23118</v>
      </c>
      <c r="K27">
        <v>24269</v>
      </c>
    </row>
    <row r="28" spans="1:11" s="9" customFormat="1" x14ac:dyDescent="0.35">
      <c r="A28" s="9" t="s">
        <v>12</v>
      </c>
      <c r="B28">
        <v>38737</v>
      </c>
      <c r="C28">
        <v>40034</v>
      </c>
      <c r="D28">
        <v>49426</v>
      </c>
      <c r="E28">
        <v>55227</v>
      </c>
      <c r="F28">
        <v>53606</v>
      </c>
      <c r="G28">
        <v>55461</v>
      </c>
      <c r="H28">
        <v>83815</v>
      </c>
      <c r="I28">
        <v>94464</v>
      </c>
      <c r="J28">
        <v>104340</v>
      </c>
      <c r="K28">
        <v>106017</v>
      </c>
    </row>
    <row r="29" spans="1:11" s="9" customFormat="1" x14ac:dyDescent="0.35">
      <c r="A29" s="9" t="s">
        <v>13</v>
      </c>
      <c r="B29">
        <v>8876</v>
      </c>
      <c r="C29">
        <v>10201</v>
      </c>
      <c r="D29">
        <v>13346</v>
      </c>
      <c r="E29">
        <v>15390</v>
      </c>
      <c r="F29">
        <v>13726</v>
      </c>
      <c r="G29">
        <v>1722</v>
      </c>
      <c r="H29">
        <v>15970</v>
      </c>
      <c r="I29">
        <v>20376</v>
      </c>
      <c r="J29">
        <v>25707</v>
      </c>
      <c r="K29">
        <v>25230</v>
      </c>
    </row>
    <row r="30" spans="1:11" s="9" customFormat="1" x14ac:dyDescent="0.35">
      <c r="A30" s="9" t="s">
        <v>14</v>
      </c>
      <c r="B30">
        <v>29745</v>
      </c>
      <c r="C30">
        <v>29901</v>
      </c>
      <c r="D30">
        <v>36075</v>
      </c>
      <c r="E30">
        <v>39588</v>
      </c>
      <c r="F30">
        <v>39354</v>
      </c>
      <c r="G30">
        <v>49128</v>
      </c>
      <c r="H30">
        <v>60705</v>
      </c>
      <c r="I30">
        <v>66702</v>
      </c>
      <c r="J30">
        <v>69621</v>
      </c>
      <c r="K30">
        <v>69648</v>
      </c>
    </row>
    <row r="31" spans="1:11" s="9" customFormat="1" x14ac:dyDescent="0.35">
      <c r="A31" s="9" t="s">
        <v>70</v>
      </c>
      <c r="B31">
        <v>3095.4</v>
      </c>
      <c r="C31">
        <v>3254.9</v>
      </c>
      <c r="D31">
        <v>3553.2</v>
      </c>
      <c r="E31">
        <v>3851.9</v>
      </c>
      <c r="F31">
        <v>4120.3500000000004</v>
      </c>
      <c r="G31">
        <v>4511.5</v>
      </c>
      <c r="H31">
        <v>5412</v>
      </c>
      <c r="I31">
        <v>6089.4</v>
      </c>
      <c r="J31">
        <v>6766</v>
      </c>
      <c r="K31">
        <v>7442.6</v>
      </c>
    </row>
    <row r="32" spans="1:11" s="9" customFormat="1" x14ac:dyDescent="0.35"/>
    <row r="33" spans="1:11" x14ac:dyDescent="0.35">
      <c r="A33" s="9"/>
    </row>
    <row r="34" spans="1:11" x14ac:dyDescent="0.35">
      <c r="A34" s="9"/>
    </row>
    <row r="35" spans="1:11" x14ac:dyDescent="0.35">
      <c r="A35" s="9"/>
    </row>
    <row r="36" spans="1:11" x14ac:dyDescent="0.35">
      <c r="A36" s="9"/>
    </row>
    <row r="37" spans="1:11" x14ac:dyDescent="0.35">
      <c r="A37" s="9"/>
    </row>
    <row r="38" spans="1:11" x14ac:dyDescent="0.35">
      <c r="A38" s="9"/>
    </row>
    <row r="39" spans="1:11" x14ac:dyDescent="0.35">
      <c r="A39" s="9"/>
    </row>
    <row r="40" spans="1:11" x14ac:dyDescent="0.35">
      <c r="A40" s="1" t="s">
        <v>39</v>
      </c>
    </row>
    <row r="41" spans="1:11" s="24" customFormat="1" x14ac:dyDescent="0.35">
      <c r="A41" s="23" t="s">
        <v>38</v>
      </c>
      <c r="B41" s="16">
        <v>45107</v>
      </c>
      <c r="C41" s="16">
        <v>45199</v>
      </c>
      <c r="D41" s="16">
        <v>45291</v>
      </c>
      <c r="E41" s="16">
        <v>45382</v>
      </c>
      <c r="F41" s="16">
        <v>45473</v>
      </c>
      <c r="G41" s="16">
        <v>45565</v>
      </c>
      <c r="H41" s="16">
        <v>45657</v>
      </c>
      <c r="I41" s="16">
        <v>45747</v>
      </c>
      <c r="J41" s="16">
        <v>45838</v>
      </c>
      <c r="K41" s="16">
        <v>45930</v>
      </c>
    </row>
    <row r="42" spans="1:11" s="9" customFormat="1" x14ac:dyDescent="0.35">
      <c r="A42" s="9" t="s">
        <v>6</v>
      </c>
      <c r="B42">
        <v>207559</v>
      </c>
      <c r="C42">
        <v>231886</v>
      </c>
      <c r="D42">
        <v>225086</v>
      </c>
      <c r="E42">
        <v>236533</v>
      </c>
      <c r="F42">
        <v>231784</v>
      </c>
      <c r="G42">
        <v>231535</v>
      </c>
      <c r="H42">
        <v>239986</v>
      </c>
      <c r="I42">
        <v>261388</v>
      </c>
      <c r="J42">
        <v>243632</v>
      </c>
      <c r="K42">
        <v>254623</v>
      </c>
    </row>
    <row r="43" spans="1:11" s="9" customFormat="1" x14ac:dyDescent="0.35">
      <c r="A43" s="9" t="s">
        <v>7</v>
      </c>
      <c r="B43">
        <v>169466</v>
      </c>
      <c r="C43">
        <v>190918</v>
      </c>
      <c r="D43">
        <v>184430</v>
      </c>
      <c r="E43">
        <v>194017</v>
      </c>
      <c r="F43">
        <v>193019</v>
      </c>
      <c r="G43">
        <v>192477</v>
      </c>
      <c r="H43">
        <v>196197</v>
      </c>
      <c r="I43">
        <v>217556</v>
      </c>
      <c r="J43">
        <v>200727</v>
      </c>
      <c r="K43">
        <v>208738</v>
      </c>
    </row>
    <row r="44" spans="1:11" s="9" customFormat="1" x14ac:dyDescent="0.35">
      <c r="A44" s="9" t="s">
        <v>9</v>
      </c>
      <c r="B44">
        <v>3813</v>
      </c>
      <c r="C44">
        <v>3841</v>
      </c>
      <c r="D44">
        <v>3869</v>
      </c>
      <c r="E44">
        <v>4534</v>
      </c>
      <c r="F44">
        <v>3983</v>
      </c>
      <c r="G44">
        <v>4876</v>
      </c>
      <c r="H44">
        <v>4214</v>
      </c>
      <c r="I44">
        <v>4905</v>
      </c>
      <c r="J44">
        <v>15119</v>
      </c>
      <c r="K44">
        <v>4482</v>
      </c>
    </row>
    <row r="45" spans="1:11" s="9" customFormat="1" x14ac:dyDescent="0.35">
      <c r="A45" s="9" t="s">
        <v>10</v>
      </c>
      <c r="B45">
        <v>11775</v>
      </c>
      <c r="C45">
        <v>12585</v>
      </c>
      <c r="D45">
        <v>12903</v>
      </c>
      <c r="E45">
        <v>13569</v>
      </c>
      <c r="F45">
        <v>13596</v>
      </c>
      <c r="G45">
        <v>12880</v>
      </c>
      <c r="H45">
        <v>13181</v>
      </c>
      <c r="I45">
        <v>13479</v>
      </c>
      <c r="J45">
        <v>13842</v>
      </c>
      <c r="K45">
        <v>14416</v>
      </c>
    </row>
    <row r="46" spans="1:11" s="9" customFormat="1" x14ac:dyDescent="0.35">
      <c r="A46" s="9" t="s">
        <v>11</v>
      </c>
      <c r="B46">
        <v>5837</v>
      </c>
      <c r="C46">
        <v>5731</v>
      </c>
      <c r="D46">
        <v>5789</v>
      </c>
      <c r="E46">
        <v>5761</v>
      </c>
      <c r="F46">
        <v>5918</v>
      </c>
      <c r="G46">
        <v>6017</v>
      </c>
      <c r="H46">
        <v>6179</v>
      </c>
      <c r="I46">
        <v>6155</v>
      </c>
      <c r="J46">
        <v>7036</v>
      </c>
      <c r="K46">
        <v>6827</v>
      </c>
    </row>
    <row r="47" spans="1:11" s="9" customFormat="1" x14ac:dyDescent="0.35">
      <c r="A47" s="9" t="s">
        <v>12</v>
      </c>
      <c r="B47">
        <v>24294</v>
      </c>
      <c r="C47">
        <v>26493</v>
      </c>
      <c r="D47">
        <v>25833</v>
      </c>
      <c r="E47">
        <v>27720</v>
      </c>
      <c r="F47">
        <v>23234</v>
      </c>
      <c r="G47">
        <v>25037</v>
      </c>
      <c r="H47">
        <v>28643</v>
      </c>
      <c r="I47">
        <v>29103</v>
      </c>
      <c r="J47">
        <v>37146</v>
      </c>
      <c r="K47">
        <v>29124</v>
      </c>
    </row>
    <row r="48" spans="1:11" s="9" customFormat="1" x14ac:dyDescent="0.35">
      <c r="A48" s="9" t="s">
        <v>13</v>
      </c>
      <c r="B48">
        <v>6112</v>
      </c>
      <c r="C48">
        <v>6673</v>
      </c>
      <c r="D48">
        <v>6345</v>
      </c>
      <c r="E48">
        <v>6577</v>
      </c>
      <c r="F48">
        <v>5786</v>
      </c>
      <c r="G48">
        <v>5936</v>
      </c>
      <c r="H48">
        <v>6839</v>
      </c>
      <c r="I48">
        <v>6669</v>
      </c>
      <c r="J48">
        <v>6465</v>
      </c>
      <c r="K48">
        <v>6978</v>
      </c>
    </row>
    <row r="49" spans="1:11" s="9" customFormat="1" x14ac:dyDescent="0.35">
      <c r="A49" s="9" t="s">
        <v>14</v>
      </c>
      <c r="B49">
        <v>16011</v>
      </c>
      <c r="C49">
        <v>17394</v>
      </c>
      <c r="D49">
        <v>17265</v>
      </c>
      <c r="E49">
        <v>18951</v>
      </c>
      <c r="F49">
        <v>15138</v>
      </c>
      <c r="G49">
        <v>16563</v>
      </c>
      <c r="H49">
        <v>18540</v>
      </c>
      <c r="I49">
        <v>19407</v>
      </c>
      <c r="J49">
        <v>26994</v>
      </c>
      <c r="K49">
        <v>18165</v>
      </c>
    </row>
    <row r="50" spans="1:11" x14ac:dyDescent="0.35">
      <c r="A50" s="9" t="s">
        <v>8</v>
      </c>
      <c r="B50">
        <v>38093</v>
      </c>
      <c r="C50">
        <v>40968</v>
      </c>
      <c r="D50">
        <v>40656</v>
      </c>
      <c r="E50">
        <v>42516</v>
      </c>
      <c r="F50">
        <v>38765</v>
      </c>
      <c r="G50">
        <v>39058</v>
      </c>
      <c r="H50">
        <v>43789</v>
      </c>
      <c r="I50">
        <v>43832</v>
      </c>
      <c r="J50">
        <v>42905</v>
      </c>
      <c r="K50">
        <v>45885</v>
      </c>
    </row>
    <row r="51" spans="1:11" x14ac:dyDescent="0.35">
      <c r="A51" s="9"/>
    </row>
    <row r="52" spans="1:11" x14ac:dyDescent="0.35">
      <c r="A52" s="9"/>
    </row>
    <row r="53" spans="1:11" x14ac:dyDescent="0.35">
      <c r="A53" s="9"/>
    </row>
    <row r="54" spans="1:11" x14ac:dyDescent="0.35">
      <c r="A54" s="9"/>
    </row>
    <row r="55" spans="1:11" x14ac:dyDescent="0.35">
      <c r="A55" s="1" t="s">
        <v>40</v>
      </c>
    </row>
    <row r="56" spans="1:11" s="24" customFormat="1" x14ac:dyDescent="0.35">
      <c r="A56" s="23" t="s">
        <v>38</v>
      </c>
      <c r="B56" s="16">
        <v>42460</v>
      </c>
      <c r="C56" s="16">
        <v>42825</v>
      </c>
      <c r="D56" s="16">
        <v>43190</v>
      </c>
      <c r="E56" s="16">
        <v>43555</v>
      </c>
      <c r="F56" s="16">
        <v>43921</v>
      </c>
      <c r="G56" s="16">
        <v>44286</v>
      </c>
      <c r="H56" s="16">
        <v>44651</v>
      </c>
      <c r="I56" s="16">
        <v>45016</v>
      </c>
      <c r="J56" s="16">
        <v>45382</v>
      </c>
      <c r="K56" s="16">
        <v>45747</v>
      </c>
    </row>
    <row r="57" spans="1:11" x14ac:dyDescent="0.35">
      <c r="A57" s="9" t="s">
        <v>24</v>
      </c>
      <c r="B57">
        <v>2948</v>
      </c>
      <c r="C57">
        <v>2959</v>
      </c>
      <c r="D57">
        <v>5922</v>
      </c>
      <c r="E57">
        <v>5926</v>
      </c>
      <c r="F57">
        <v>6339</v>
      </c>
      <c r="G57">
        <v>6445</v>
      </c>
      <c r="H57">
        <v>6765</v>
      </c>
      <c r="I57">
        <v>6766</v>
      </c>
      <c r="J57">
        <v>6766</v>
      </c>
      <c r="K57">
        <v>13532</v>
      </c>
    </row>
    <row r="58" spans="1:11" x14ac:dyDescent="0.35">
      <c r="A58" s="9" t="s">
        <v>25</v>
      </c>
      <c r="B58">
        <v>228608</v>
      </c>
      <c r="C58">
        <v>260750</v>
      </c>
      <c r="D58">
        <v>287584</v>
      </c>
      <c r="E58">
        <v>381186</v>
      </c>
      <c r="F58">
        <v>442827</v>
      </c>
      <c r="G58">
        <v>693727</v>
      </c>
      <c r="H58">
        <v>772720</v>
      </c>
      <c r="I58">
        <v>709106</v>
      </c>
      <c r="J58">
        <v>786715</v>
      </c>
      <c r="K58">
        <v>829668</v>
      </c>
    </row>
    <row r="59" spans="1:11" x14ac:dyDescent="0.35">
      <c r="A59" s="9" t="s">
        <v>71</v>
      </c>
      <c r="B59">
        <v>194714</v>
      </c>
      <c r="C59">
        <v>217475</v>
      </c>
      <c r="D59">
        <v>239843</v>
      </c>
      <c r="E59">
        <v>307714</v>
      </c>
      <c r="F59">
        <v>355133</v>
      </c>
      <c r="G59">
        <v>278962</v>
      </c>
      <c r="H59">
        <v>319158</v>
      </c>
      <c r="I59">
        <v>451664</v>
      </c>
      <c r="J59">
        <v>350719</v>
      </c>
      <c r="K59">
        <v>374313</v>
      </c>
    </row>
    <row r="60" spans="1:11" x14ac:dyDescent="0.35">
      <c r="A60" s="9" t="s">
        <v>72</v>
      </c>
      <c r="B60">
        <v>172727</v>
      </c>
      <c r="C60">
        <v>225618</v>
      </c>
      <c r="D60">
        <v>277924</v>
      </c>
      <c r="E60">
        <v>302804</v>
      </c>
      <c r="F60">
        <v>358716</v>
      </c>
      <c r="G60">
        <v>340931</v>
      </c>
      <c r="H60">
        <v>399979</v>
      </c>
      <c r="I60">
        <v>438346</v>
      </c>
      <c r="J60">
        <v>610848</v>
      </c>
      <c r="K60">
        <v>732200</v>
      </c>
    </row>
    <row r="61" spans="1:11" s="1" customFormat="1" x14ac:dyDescent="0.35">
      <c r="A61" s="1" t="s">
        <v>26</v>
      </c>
      <c r="B61">
        <v>598997</v>
      </c>
      <c r="C61">
        <v>706802</v>
      </c>
      <c r="D61">
        <v>811273</v>
      </c>
      <c r="E61">
        <v>997630</v>
      </c>
      <c r="F61">
        <v>1163015</v>
      </c>
      <c r="G61">
        <v>1320065</v>
      </c>
      <c r="H61">
        <v>1498622</v>
      </c>
      <c r="I61">
        <v>1605882</v>
      </c>
      <c r="J61">
        <v>1755048</v>
      </c>
      <c r="K61">
        <v>1949713</v>
      </c>
    </row>
    <row r="62" spans="1:11" x14ac:dyDescent="0.35">
      <c r="A62" s="9" t="s">
        <v>27</v>
      </c>
      <c r="B62">
        <v>184910</v>
      </c>
      <c r="C62">
        <v>198526</v>
      </c>
      <c r="D62">
        <v>403885</v>
      </c>
      <c r="E62">
        <v>398374</v>
      </c>
      <c r="F62">
        <v>532658</v>
      </c>
      <c r="G62">
        <v>541258</v>
      </c>
      <c r="H62">
        <v>627798</v>
      </c>
      <c r="I62">
        <v>724805</v>
      </c>
      <c r="J62">
        <v>779985</v>
      </c>
      <c r="K62">
        <v>999393</v>
      </c>
    </row>
    <row r="63" spans="1:11" x14ac:dyDescent="0.35">
      <c r="A63" s="9" t="s">
        <v>28</v>
      </c>
      <c r="B63">
        <v>228697</v>
      </c>
      <c r="C63">
        <v>324837</v>
      </c>
      <c r="D63">
        <v>187022</v>
      </c>
      <c r="E63">
        <v>179463</v>
      </c>
      <c r="F63">
        <v>109106</v>
      </c>
      <c r="G63">
        <v>125953</v>
      </c>
      <c r="H63">
        <v>172506</v>
      </c>
      <c r="I63">
        <v>293752</v>
      </c>
      <c r="J63">
        <v>338855</v>
      </c>
      <c r="K63">
        <v>262358</v>
      </c>
    </row>
    <row r="64" spans="1:11" x14ac:dyDescent="0.35">
      <c r="A64" s="9" t="s">
        <v>29</v>
      </c>
      <c r="B64">
        <v>84015</v>
      </c>
      <c r="C64">
        <v>82899</v>
      </c>
      <c r="D64">
        <v>82862</v>
      </c>
      <c r="E64">
        <v>235635</v>
      </c>
      <c r="F64">
        <v>276767</v>
      </c>
      <c r="G64">
        <v>364828</v>
      </c>
      <c r="H64">
        <v>394264</v>
      </c>
      <c r="I64">
        <v>235560</v>
      </c>
      <c r="J64">
        <v>225672</v>
      </c>
      <c r="K64">
        <v>242381</v>
      </c>
    </row>
    <row r="65" spans="1:11" x14ac:dyDescent="0.35">
      <c r="A65" s="9" t="s">
        <v>73</v>
      </c>
      <c r="B65">
        <v>101375</v>
      </c>
      <c r="C65">
        <v>100540</v>
      </c>
      <c r="D65">
        <v>137504</v>
      </c>
      <c r="E65">
        <v>184158</v>
      </c>
      <c r="F65">
        <v>244484</v>
      </c>
      <c r="G65">
        <v>288026</v>
      </c>
      <c r="H65">
        <v>304054</v>
      </c>
      <c r="I65">
        <v>351765</v>
      </c>
      <c r="J65">
        <v>410536</v>
      </c>
      <c r="K65">
        <v>445581</v>
      </c>
    </row>
    <row r="66" spans="1:11" s="1" customFormat="1" x14ac:dyDescent="0.35">
      <c r="A66" s="1" t="s">
        <v>26</v>
      </c>
      <c r="B66">
        <v>598997</v>
      </c>
      <c r="C66">
        <v>706802</v>
      </c>
      <c r="D66">
        <v>811273</v>
      </c>
      <c r="E66">
        <v>997630</v>
      </c>
      <c r="F66">
        <v>1163015</v>
      </c>
      <c r="G66">
        <v>1320065</v>
      </c>
      <c r="H66">
        <v>1498622</v>
      </c>
      <c r="I66">
        <v>1605882</v>
      </c>
      <c r="J66">
        <v>1755048</v>
      </c>
      <c r="K66">
        <v>1949713</v>
      </c>
    </row>
    <row r="67" spans="1:11" s="9" customFormat="1" x14ac:dyDescent="0.35">
      <c r="A67" s="9" t="s">
        <v>78</v>
      </c>
      <c r="B67">
        <v>4465</v>
      </c>
      <c r="C67">
        <v>8177</v>
      </c>
      <c r="D67">
        <v>17555</v>
      </c>
      <c r="E67">
        <v>30089</v>
      </c>
      <c r="F67">
        <v>19656</v>
      </c>
      <c r="G67">
        <v>19014</v>
      </c>
      <c r="H67">
        <v>23640</v>
      </c>
      <c r="I67">
        <v>28448</v>
      </c>
      <c r="J67">
        <v>31628</v>
      </c>
      <c r="K67">
        <v>42121</v>
      </c>
    </row>
    <row r="68" spans="1:11" x14ac:dyDescent="0.35">
      <c r="A68" s="9" t="s">
        <v>45</v>
      </c>
      <c r="B68">
        <v>46486</v>
      </c>
      <c r="C68">
        <v>48951</v>
      </c>
      <c r="D68">
        <v>60837</v>
      </c>
      <c r="E68">
        <v>67561</v>
      </c>
      <c r="F68">
        <v>73903</v>
      </c>
      <c r="G68">
        <v>81672</v>
      </c>
      <c r="H68">
        <v>107778</v>
      </c>
      <c r="I68">
        <v>140008</v>
      </c>
      <c r="J68">
        <v>152770</v>
      </c>
      <c r="K68">
        <v>146062</v>
      </c>
    </row>
    <row r="69" spans="1:11" x14ac:dyDescent="0.35">
      <c r="A69" s="5" t="s">
        <v>87</v>
      </c>
      <c r="B69">
        <v>11028</v>
      </c>
      <c r="C69">
        <v>3023</v>
      </c>
      <c r="D69">
        <v>4255</v>
      </c>
      <c r="E69">
        <v>11081</v>
      </c>
      <c r="F69">
        <v>30920</v>
      </c>
      <c r="G69">
        <v>17397</v>
      </c>
      <c r="H69">
        <v>36178</v>
      </c>
      <c r="I69">
        <v>68664</v>
      </c>
      <c r="J69">
        <v>97225</v>
      </c>
      <c r="K69">
        <v>106502</v>
      </c>
    </row>
    <row r="70" spans="1:11" x14ac:dyDescent="0.35">
      <c r="A70" s="5" t="s">
        <v>74</v>
      </c>
      <c r="B70">
        <v>2948021694</v>
      </c>
      <c r="C70">
        <v>2958924277</v>
      </c>
      <c r="D70">
        <v>5921826196</v>
      </c>
      <c r="E70">
        <v>5925868997</v>
      </c>
      <c r="F70">
        <v>6338693823</v>
      </c>
      <c r="G70">
        <v>6762068814</v>
      </c>
      <c r="H70">
        <v>6765994014</v>
      </c>
      <c r="I70">
        <v>6766094014</v>
      </c>
      <c r="J70">
        <v>6766094014</v>
      </c>
      <c r="K70">
        <v>13532515463</v>
      </c>
    </row>
    <row r="71" spans="1:11" x14ac:dyDescent="0.35">
      <c r="A71" s="5" t="s">
        <v>75</v>
      </c>
      <c r="D71">
        <v>2959863235</v>
      </c>
      <c r="E71">
        <v>2959863235</v>
      </c>
      <c r="K71">
        <v>6766186449</v>
      </c>
    </row>
    <row r="72" spans="1:11" x14ac:dyDescent="0.35">
      <c r="A72" s="5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5">
      <c r="A74" s="9"/>
    </row>
    <row r="75" spans="1:11" x14ac:dyDescent="0.35">
      <c r="A75" s="9"/>
    </row>
    <row r="76" spans="1:11" x14ac:dyDescent="0.35">
      <c r="A76" s="9"/>
    </row>
    <row r="77" spans="1:11" x14ac:dyDescent="0.35">
      <c r="A77" s="9"/>
    </row>
    <row r="78" spans="1:11" x14ac:dyDescent="0.35">
      <c r="A78" s="9"/>
    </row>
    <row r="79" spans="1:11" x14ac:dyDescent="0.35">
      <c r="A79" s="9"/>
    </row>
    <row r="80" spans="1:11" x14ac:dyDescent="0.35">
      <c r="A80" s="1" t="s">
        <v>41</v>
      </c>
    </row>
    <row r="81" spans="1:11" s="24" customFormat="1" x14ac:dyDescent="0.35">
      <c r="A81" s="23" t="s">
        <v>38</v>
      </c>
      <c r="B81" s="16">
        <v>42460</v>
      </c>
      <c r="C81" s="16">
        <v>42825</v>
      </c>
      <c r="D81" s="16">
        <v>43190</v>
      </c>
      <c r="E81" s="16">
        <v>43555</v>
      </c>
      <c r="F81" s="16">
        <v>43921</v>
      </c>
      <c r="G81" s="16">
        <v>44286</v>
      </c>
      <c r="H81" s="16">
        <v>44651</v>
      </c>
      <c r="I81" s="16">
        <v>45016</v>
      </c>
      <c r="J81" s="16">
        <v>45382</v>
      </c>
      <c r="K81" s="16">
        <v>45747</v>
      </c>
    </row>
    <row r="82" spans="1:11" s="1" customFormat="1" x14ac:dyDescent="0.35">
      <c r="A82" s="9" t="s">
        <v>32</v>
      </c>
      <c r="B82">
        <v>38134</v>
      </c>
      <c r="C82">
        <v>49550</v>
      </c>
      <c r="D82">
        <v>71459</v>
      </c>
      <c r="E82">
        <v>42346</v>
      </c>
      <c r="F82">
        <v>94877</v>
      </c>
      <c r="G82">
        <v>26958</v>
      </c>
      <c r="H82">
        <v>110654</v>
      </c>
      <c r="I82">
        <v>115032</v>
      </c>
      <c r="J82">
        <v>158788</v>
      </c>
      <c r="K82">
        <v>178703</v>
      </c>
    </row>
    <row r="83" spans="1:11" s="9" customFormat="1" x14ac:dyDescent="0.35">
      <c r="A83" s="9" t="s">
        <v>33</v>
      </c>
      <c r="B83">
        <v>-36186</v>
      </c>
      <c r="C83">
        <v>-66201</v>
      </c>
      <c r="D83">
        <v>-68192</v>
      </c>
      <c r="E83">
        <v>-94507</v>
      </c>
      <c r="F83">
        <v>-72497</v>
      </c>
      <c r="G83">
        <v>-142385</v>
      </c>
      <c r="H83">
        <v>-109162</v>
      </c>
      <c r="I83">
        <v>-93001</v>
      </c>
      <c r="J83">
        <v>-113581</v>
      </c>
      <c r="K83">
        <v>-137535</v>
      </c>
    </row>
    <row r="84" spans="1:11" s="9" customFormat="1" x14ac:dyDescent="0.35">
      <c r="A84" s="9" t="s">
        <v>34</v>
      </c>
      <c r="B84">
        <v>-3210</v>
      </c>
      <c r="C84">
        <v>8617</v>
      </c>
      <c r="D84">
        <v>-2001</v>
      </c>
      <c r="E84">
        <v>55906</v>
      </c>
      <c r="F84">
        <v>-2541</v>
      </c>
      <c r="G84">
        <v>101904</v>
      </c>
      <c r="H84">
        <v>17289</v>
      </c>
      <c r="I84">
        <v>10455</v>
      </c>
      <c r="J84">
        <v>-16646</v>
      </c>
      <c r="K84">
        <v>-31891</v>
      </c>
    </row>
    <row r="85" spans="1:11" s="1" customFormat="1" x14ac:dyDescent="0.35">
      <c r="A85" s="9" t="s">
        <v>35</v>
      </c>
      <c r="B85">
        <v>-1262</v>
      </c>
      <c r="C85">
        <v>-8034</v>
      </c>
      <c r="D85">
        <v>1266</v>
      </c>
      <c r="E85">
        <v>3745</v>
      </c>
      <c r="F85">
        <v>19839</v>
      </c>
      <c r="G85">
        <v>-13523</v>
      </c>
      <c r="H85">
        <v>18781</v>
      </c>
      <c r="I85">
        <v>32486</v>
      </c>
      <c r="J85">
        <v>28561</v>
      </c>
      <c r="K85">
        <v>9277</v>
      </c>
    </row>
    <row r="86" spans="1:11" x14ac:dyDescent="0.35">
      <c r="A86" s="9"/>
    </row>
    <row r="87" spans="1:11" x14ac:dyDescent="0.35">
      <c r="A87" s="9"/>
    </row>
    <row r="88" spans="1:11" x14ac:dyDescent="0.35">
      <c r="A88" s="9"/>
    </row>
    <row r="89" spans="1:11" x14ac:dyDescent="0.35">
      <c r="A89" s="9"/>
    </row>
    <row r="90" spans="1:11" s="1" customFormat="1" x14ac:dyDescent="0.35">
      <c r="A90" s="1" t="s">
        <v>77</v>
      </c>
      <c r="B90">
        <v>237.46</v>
      </c>
      <c r="C90">
        <v>300.08999999999997</v>
      </c>
      <c r="D90">
        <v>401.08</v>
      </c>
      <c r="E90">
        <v>619.42999999999995</v>
      </c>
      <c r="F90">
        <v>506.06</v>
      </c>
      <c r="G90">
        <v>918.78</v>
      </c>
      <c r="H90">
        <v>1208.51</v>
      </c>
      <c r="I90">
        <v>1069.21</v>
      </c>
      <c r="J90">
        <v>1485.85</v>
      </c>
      <c r="K90">
        <v>1275.0999999999999</v>
      </c>
    </row>
    <row r="92" spans="1:11" s="1" customFormat="1" x14ac:dyDescent="0.35">
      <c r="A92" s="1" t="s">
        <v>76</v>
      </c>
    </row>
    <row r="93" spans="1:11" x14ac:dyDescent="0.35">
      <c r="A93" s="5" t="s">
        <v>89</v>
      </c>
      <c r="B93" s="31">
        <v>1382.58</v>
      </c>
      <c r="C93" s="31">
        <v>1387.22</v>
      </c>
      <c r="D93" s="31">
        <v>1351.39</v>
      </c>
      <c r="E93" s="31">
        <v>1352.26</v>
      </c>
      <c r="F93" s="31">
        <v>1352.37</v>
      </c>
      <c r="G93" s="31">
        <v>1267.8900000000001</v>
      </c>
      <c r="H93" s="31">
        <v>1352.98</v>
      </c>
      <c r="I93" s="31">
        <v>1353.12</v>
      </c>
      <c r="J93" s="31">
        <v>1353.14</v>
      </c>
      <c r="K93" s="31">
        <v>1353.24</v>
      </c>
    </row>
  </sheetData>
  <mergeCells count="2">
    <mergeCell ref="E1:K1"/>
    <mergeCell ref="E2:K2"/>
  </mergeCells>
  <conditionalFormatting sqref="E1:K1">
    <cfRule type="cellIs" dxfId="3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O52"/>
  <sheetViews>
    <sheetView showGridLines="0" workbookViewId="0">
      <pane ySplit="3" topLeftCell="A4" activePane="bottomLeft" state="frozen"/>
      <selection pane="bottomLeft" activeCell="C21" sqref="C21"/>
    </sheetView>
  </sheetViews>
  <sheetFormatPr defaultRowHeight="14.5" x14ac:dyDescent="0.35"/>
  <cols>
    <col min="1" max="1" width="3.453125" customWidth="1"/>
    <col min="2" max="2" width="30.6328125" customWidth="1"/>
    <col min="3" max="3" width="13.26953125" customWidth="1"/>
    <col min="4" max="4" width="9.36328125" bestFit="1" customWidth="1"/>
    <col min="13" max="13" width="15.1796875" customWidth="1"/>
    <col min="14" max="14" width="11.54296875" customWidth="1"/>
    <col min="15" max="15" width="10.6328125" customWidth="1"/>
  </cols>
  <sheetData>
    <row r="2" spans="2:15" ht="14.5" customHeight="1" x14ac:dyDescent="0.35">
      <c r="B2" s="206" t="str">
        <f>"Ratio Analysis of - "&amp;'[1]Data Sheet'!B1</f>
        <v>Ratio Analysis of - RELIANCE INDUSTRIES LTD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</row>
    <row r="3" spans="2:15" x14ac:dyDescent="0.35">
      <c r="B3" s="74" t="s">
        <v>157</v>
      </c>
      <c r="C3" s="75">
        <f>IFERROR('Data Sheet'!B16,0)</f>
        <v>42460</v>
      </c>
      <c r="D3" s="75">
        <f>IFERROR('Data Sheet'!C16,0)</f>
        <v>42825</v>
      </c>
      <c r="E3" s="75">
        <f>IFERROR('Data Sheet'!D16,0)</f>
        <v>43190</v>
      </c>
      <c r="F3" s="75">
        <f>IFERROR('Data Sheet'!E16,0)</f>
        <v>43555</v>
      </c>
      <c r="G3" s="75">
        <f>IFERROR('Data Sheet'!F16,0)</f>
        <v>43921</v>
      </c>
      <c r="H3" s="75">
        <f>IFERROR('Data Sheet'!G16,0)</f>
        <v>44286</v>
      </c>
      <c r="I3" s="75">
        <f>IFERROR('Data Sheet'!H16,0)</f>
        <v>44651</v>
      </c>
      <c r="J3" s="75">
        <f>IFERROR('Data Sheet'!I16,0)</f>
        <v>45016</v>
      </c>
      <c r="K3" s="75">
        <f>IFERROR('Data Sheet'!J16,0)</f>
        <v>45382</v>
      </c>
      <c r="L3" s="75">
        <f>IFERROR('Data Sheet'!K16,0)</f>
        <v>45747</v>
      </c>
      <c r="M3" s="76" t="s">
        <v>158</v>
      </c>
      <c r="N3" s="75" t="s">
        <v>159</v>
      </c>
      <c r="O3" s="75" t="s">
        <v>160</v>
      </c>
    </row>
    <row r="4" spans="2:15" x14ac:dyDescent="0.35">
      <c r="B4" s="77" t="s">
        <v>22</v>
      </c>
      <c r="C4" t="str">
        <f>IFERROR('HISTORICAL FS'!C5,0)</f>
        <v>-</v>
      </c>
      <c r="D4" s="36">
        <f>IFERROR('HISTORICAL FS'!D5,0)</f>
        <v>0.11508788148930793</v>
      </c>
      <c r="E4" s="36">
        <f>IFERROR('HISTORICAL FS'!E5,0)</f>
        <v>0.28579653500200686</v>
      </c>
      <c r="F4" s="36">
        <f>IFERROR('HISTORICAL FS'!F5,0)</f>
        <v>0.45420561225925793</v>
      </c>
      <c r="G4" s="36">
        <f>IFERROR('HISTORICAL FS'!G5,0)</f>
        <v>4.9868299969912266E-2</v>
      </c>
      <c r="H4" s="36">
        <f>IFERROR('HISTORICAL FS'!H5,0)</f>
        <v>-0.21849604226057895</v>
      </c>
      <c r="I4" s="36">
        <f>IFERROR('HISTORICAL FS'!I5,0)</f>
        <v>0.48973315862725619</v>
      </c>
      <c r="J4" s="36">
        <f>IFERROR('HISTORICAL FS'!J5,0)</f>
        <v>0.26159502384575184</v>
      </c>
      <c r="K4" s="36">
        <f>IFERROR('HISTORICAL FS'!K5,0)</f>
        <v>2.5838776078393799E-2</v>
      </c>
      <c r="L4" s="36">
        <f>IFERROR('HISTORICAL FS'!L5,0)</f>
        <v>7.0941147289167006E-2</v>
      </c>
      <c r="N4" s="36">
        <f>AVERAGE(D4:L4)</f>
        <v>0.17050782136671941</v>
      </c>
      <c r="O4" s="36">
        <f>MEDIAN(D4:L4)</f>
        <v>0.11508788148930793</v>
      </c>
    </row>
    <row r="5" spans="2:15" x14ac:dyDescent="0.35">
      <c r="B5" t="s">
        <v>161</v>
      </c>
      <c r="C5" s="36"/>
      <c r="D5" s="36">
        <f>IFERROR('HISTORICAL FS'!D16/'HISTORICAL FS'!C16-1,0)</f>
        <v>0.10832675139417436</v>
      </c>
      <c r="E5" s="36">
        <f>IFERROR('HISTORICAL FS'!E16/'HISTORICAL FS'!D16-1,0)</f>
        <v>0.38888289027576817</v>
      </c>
      <c r="F5" s="36">
        <f>IFERROR('HISTORICAL FS'!F16/'HISTORICAL FS'!E16-1,0)</f>
        <v>0.3099587965482391</v>
      </c>
      <c r="G5" s="36">
        <f>IFERROR('HISTORICAL FS'!G16/'HISTORICAL FS'!F16-1,0)</f>
        <v>5.9537091988130619E-2</v>
      </c>
      <c r="H5" s="36">
        <f>IFERROR('HISTORICAL FS'!H16/'HISTORICAL FS'!G16-1,0)</f>
        <v>-9.4952165438128788E-2</v>
      </c>
      <c r="I5" s="36">
        <f>IFERROR('HISTORICAL FS'!I16/'HISTORICAL FS'!H16-1,0)</f>
        <v>0.34399059289516032</v>
      </c>
      <c r="J5" s="36">
        <f>IFERROR('HISTORICAL FS'!J16/'HISTORICAL FS'!I16-1,0)</f>
        <v>0.31070813494073546</v>
      </c>
      <c r="K5" s="36">
        <f>IFERROR('HISTORICAL FS'!K16/'HISTORICAL FS'!J16-1,0)</f>
        <v>0.14179513483888195</v>
      </c>
      <c r="L5" s="36">
        <f>IFERROR('HISTORICAL FS'!L16/'HISTORICAL FS'!K16-1,0)</f>
        <v>1.9077157872712247E-2</v>
      </c>
      <c r="N5" s="36">
        <f>AVERAGE(D5:L5)</f>
        <v>0.17636937614618595</v>
      </c>
      <c r="O5" s="36">
        <f>MEDIAN(D5:L5)</f>
        <v>0.14179513483888195</v>
      </c>
    </row>
    <row r="6" spans="2:15" x14ac:dyDescent="0.35">
      <c r="B6" t="s">
        <v>162</v>
      </c>
      <c r="D6" s="36">
        <f>IFERROR('HISTORICAL FS'!D25/'HISTORICAL FS'!C25-1,0)</f>
        <v>0.1616211121583413</v>
      </c>
      <c r="E6" s="36">
        <f>IFERROR('HISTORICAL FS'!E25/'HISTORICAL FS'!D25-1,0)</f>
        <v>0.28381799298974419</v>
      </c>
      <c r="F6" s="36">
        <f>IFERROR('HISTORICAL FS'!F25/'HISTORICAL FS'!E25-1,0)</f>
        <v>0.18363374371160601</v>
      </c>
      <c r="G6" s="36">
        <f>IFERROR('HISTORICAL FS'!G25/'HISTORICAL FS'!F25-1,0)</f>
        <v>-3.8123918754405128E-2</v>
      </c>
      <c r="H6" s="36">
        <f>IFERROR('HISTORICAL FS'!H25/'HISTORICAL FS'!G25-1,0)</f>
        <v>-0.26660893507416294</v>
      </c>
      <c r="I6" s="36">
        <f>IFERROR('HISTORICAL FS'!I25/'HISTORICAL FS'!H25-1,0)</f>
        <v>0.94420055103091216</v>
      </c>
      <c r="J6" s="36">
        <f>IFERROR('HISTORICAL FS'!J25/'HISTORICAL FS'!I25-1,0)</f>
        <v>0.28387448415479244</v>
      </c>
      <c r="K6" s="36">
        <f>IFERROR('HISTORICAL FS'!K25/'HISTORICAL FS'!J25-1,0)</f>
        <v>7.4038134976468939E-2</v>
      </c>
      <c r="L6" s="36">
        <f>IFERROR('HISTORICAL FS'!L25/'HISTORICAL FS'!K25-1,0)</f>
        <v>-4.0091249943533525E-3</v>
      </c>
      <c r="N6" s="36">
        <f>AVERAGE(D6:L6)</f>
        <v>0.18027156002210484</v>
      </c>
      <c r="O6" s="36">
        <f>MEDIAN(D6:L6)</f>
        <v>0.1616211121583413</v>
      </c>
    </row>
    <row r="7" spans="2:15" x14ac:dyDescent="0.35">
      <c r="B7" t="s">
        <v>163</v>
      </c>
      <c r="D7" s="36">
        <f>IFERROR('HISTORICAL FS'!D31/'HISTORICAL FS'!C31-1,0)</f>
        <v>0.16782820556405453</v>
      </c>
      <c r="E7" s="36">
        <f>IFERROR('HISTORICAL FS'!E31/'HISTORICAL FS'!D31-1,0)</f>
        <v>0.27169957789529864</v>
      </c>
      <c r="F7" s="36">
        <f>IFERROR('HISTORICAL FS'!F31/'HISTORICAL FS'!E31-1,0)</f>
        <v>0.19915302735492735</v>
      </c>
      <c r="G7" s="36">
        <f>IFERROR('HISTORICAL FS'!G31/'HISTORICAL FS'!F31-1,0)</f>
        <v>-3.8497025229868864E-3</v>
      </c>
      <c r="H7" s="36">
        <f>IFERROR('HISTORICAL FS'!H31/'HISTORICAL FS'!G31-1,0)</f>
        <v>-9.5816033216178376E-5</v>
      </c>
      <c r="I7" s="36">
        <f>IFERROR('HISTORICAL FS'!I31/'HISTORICAL FS'!H31-1,0)</f>
        <v>0.54102916280704005</v>
      </c>
      <c r="J7" s="36">
        <f>IFERROR('HISTORICAL FS'!J31/'HISTORICAL FS'!I31-1,0)</f>
        <v>0.2865167374857498</v>
      </c>
      <c r="K7" s="36">
        <f>IFERROR('HISTORICAL FS'!K31/'HISTORICAL FS'!J31-1,0)</f>
        <v>1.2454082619062889E-2</v>
      </c>
      <c r="L7" s="36">
        <f>IFERROR('HISTORICAL FS'!L31/'HISTORICAL FS'!K31-1,0)</f>
        <v>1.941407679699525E-3</v>
      </c>
      <c r="N7" s="36">
        <f>AVERAGE(D7:L7)</f>
        <v>0.16407518698329221</v>
      </c>
      <c r="O7" s="36">
        <f>MEDIAN(D7:L7)</f>
        <v>0.16782820556405453</v>
      </c>
    </row>
    <row r="8" spans="2:15" x14ac:dyDescent="0.35">
      <c r="B8" s="11" t="s">
        <v>164</v>
      </c>
      <c r="D8" s="36">
        <f>IFERROR('HISTORICAL FS'!D39/'HISTORICAL FS'!C39-1,0)</f>
        <v>4.8010902693853774E-2</v>
      </c>
      <c r="E8" s="36">
        <f>IFERROR('HISTORICAL FS'!E39/'HISTORICAL FS'!D39-1,0)</f>
        <v>0.12058974503172193</v>
      </c>
      <c r="F8" s="36">
        <f>IFERROR('HISTORICAL FS'!F39/'HISTORICAL FS'!E39-1,0)</f>
        <v>8.3367615983582111E-2</v>
      </c>
      <c r="G8" s="36">
        <f>IFERROR('HISTORICAL FS'!G39/'HISTORICAL FS'!F39-1,0)</f>
        <v>6.9605871424865962E-2</v>
      </c>
      <c r="H8" s="36">
        <f>IFERROR('HISTORICAL FS'!H39/'HISTORICAL FS'!G39-1,0)</f>
        <v>0.16788694796885184</v>
      </c>
      <c r="I8" s="36">
        <f>IFERROR('HISTORICAL FS'!I39/'HISTORICAL FS'!H39-1,0)</f>
        <v>0.12415714701001423</v>
      </c>
      <c r="J8" s="36">
        <f>IFERROR('HISTORICAL FS'!J39/'HISTORICAL FS'!I39-1,0)</f>
        <v>0.12504988225291025</v>
      </c>
      <c r="K8" s="36">
        <f>IFERROR('HISTORICAL FS'!K39/'HISTORICAL FS'!J39-1,0)</f>
        <v>0.11109468840376202</v>
      </c>
      <c r="L8" s="36">
        <f>IFERROR('HISTORICAL FS'!L39/'HISTORICAL FS'!K39-1,0)</f>
        <v>9.9918713605864573E-2</v>
      </c>
      <c r="N8" s="36">
        <f>AVERAGE(D8:L8)</f>
        <v>0.1055201682639363</v>
      </c>
      <c r="O8" s="36">
        <f>MEDIAN(D8:L8)</f>
        <v>0.11109468840376202</v>
      </c>
    </row>
    <row r="9" spans="2:15" x14ac:dyDescent="0.35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</row>
    <row r="10" spans="2:15" x14ac:dyDescent="0.35">
      <c r="B10" s="11" t="s">
        <v>165</v>
      </c>
      <c r="C10" s="36">
        <f>'HISTORICAL FS'!C11</f>
        <v>0.21039096348635095</v>
      </c>
      <c r="D10" s="36">
        <f>'HISTORICAL FS'!D11</f>
        <v>0.20432697052843524</v>
      </c>
      <c r="E10" s="36">
        <f>'HISTORICAL FS'!E11</f>
        <v>0.22919326651706784</v>
      </c>
      <c r="F10" s="36">
        <f>'HISTORICAL FS'!F11</f>
        <v>0.23249410121107722</v>
      </c>
      <c r="G10" s="36">
        <f>'HISTORICAL FS'!G11</f>
        <v>0.25278583627042345</v>
      </c>
      <c r="H10" s="36">
        <f>'HISTORICAL FS'!H11</f>
        <v>0.29570218761459727</v>
      </c>
      <c r="I10" s="36">
        <f>'HISTORICAL FS'!I11</f>
        <v>0.24881778908925495</v>
      </c>
      <c r="J10" s="36">
        <f>'HISTORICAL FS'!J11</f>
        <v>0.24911227344716316</v>
      </c>
      <c r="K10" s="36">
        <f>'HISTORICAL FS'!K11</f>
        <v>0.27541124375862724</v>
      </c>
      <c r="L10" s="36">
        <f>'HISTORICAL FS'!L11</f>
        <v>0.27252342078477804</v>
      </c>
      <c r="N10" s="36">
        <f>IFERROR(AVERAGE(C10:L10),0)</f>
        <v>0.24707580527077755</v>
      </c>
      <c r="O10" s="36">
        <f>IFERROR(MEDIAN(C10:L10),0)</f>
        <v>0.24896503126820907</v>
      </c>
    </row>
    <row r="11" spans="2:15" x14ac:dyDescent="0.35">
      <c r="B11" t="s">
        <v>166</v>
      </c>
      <c r="C11" s="36">
        <f>'HISTORICAL FS'!C17</f>
        <v>0.15327808410649232</v>
      </c>
      <c r="D11" s="36">
        <f>'HISTORICAL FS'!D17</f>
        <v>0.15234871066016567</v>
      </c>
      <c r="E11" s="36">
        <f>'HISTORICAL FS'!E17</f>
        <v>0.16456298631349742</v>
      </c>
      <c r="F11" s="36">
        <f>'HISTORICAL FS'!F17</f>
        <v>0.14823951282425743</v>
      </c>
      <c r="G11" s="36">
        <f>'HISTORICAL FS'!G17</f>
        <v>0.1496047288408005</v>
      </c>
      <c r="H11" s="36">
        <f>'HISTORICAL FS'!H17</f>
        <v>0.17325495864312568</v>
      </c>
      <c r="I11" s="36">
        <f>'HISTORICAL FS'!I17</f>
        <v>0.15630519683361813</v>
      </c>
      <c r="J11" s="36">
        <f>'HISTORICAL FS'!J17</f>
        <v>0.16239006111392568</v>
      </c>
      <c r="K11" s="36">
        <f>'HISTORICAL FS'!K17</f>
        <v>0.18074592816122959</v>
      </c>
      <c r="L11" s="36">
        <f>'HISTORICAL FS'!L17</f>
        <v>0.17199268814524002</v>
      </c>
      <c r="N11" s="36">
        <f t="shared" ref="N11:N51" si="0">IFERROR(AVERAGE(C11:L11),0)</f>
        <v>0.16127228556423526</v>
      </c>
      <c r="O11" s="36">
        <f t="shared" ref="O11:O51" si="1">IFERROR(MEDIAN(C11:L11),0)</f>
        <v>0.15934762897377192</v>
      </c>
    </row>
    <row r="12" spans="2:15" x14ac:dyDescent="0.35">
      <c r="B12" t="s">
        <v>167</v>
      </c>
      <c r="C12" s="36">
        <f>IFERROR('HISTORICAL FS'!C16-'HISTORICAL FS'!C22,0)/'HISTORICAL FS'!C4</f>
        <v>0.11085063998855395</v>
      </c>
      <c r="D12" s="36">
        <f>IFERROR('HISTORICAL FS'!D16-'HISTORICAL FS'!D22,0)/'HISTORICAL FS'!D4</f>
        <v>0.11403370246813663</v>
      </c>
      <c r="E12" s="36">
        <f>IFERROR('HISTORICAL FS'!E16-'HISTORICAL FS'!E22,0)/'HISTORICAL FS'!E4</f>
        <v>0.12181729325039724</v>
      </c>
      <c r="F12" s="36">
        <f>IFERROR('HISTORICAL FS'!F16-'HISTORICAL FS'!F22,0)/'HISTORICAL FS'!F4</f>
        <v>0.11140573286623957</v>
      </c>
      <c r="G12" s="36">
        <f>IFERROR('HISTORICAL FS'!G16-'HISTORICAL FS'!G22,0)/'HISTORICAL FS'!G4</f>
        <v>0.11239376616237541</v>
      </c>
      <c r="H12" s="36">
        <f>IFERROR('HISTORICAL FS'!H16-'HISTORICAL FS'!H22,0)/'HISTORICAL FS'!H4</f>
        <v>0.11627104032322054</v>
      </c>
      <c r="I12" s="36">
        <f>IFERROR('HISTORICAL FS'!I16-'HISTORICAL FS'!I22,0)/'HISTORICAL FS'!I4</f>
        <v>0.11343322685637702</v>
      </c>
      <c r="J12" s="36">
        <f>IFERROR('HISTORICAL FS'!J16-'HISTORICAL FS'!J22,0)/'HISTORICAL FS'!J4</f>
        <v>0.11640285898155628</v>
      </c>
      <c r="K12" s="36">
        <f>IFERROR('HISTORICAL FS'!K16-'HISTORICAL FS'!K22,0)/'HISTORICAL FS'!K4</f>
        <v>0.12420568138716699</v>
      </c>
      <c r="L12" s="36">
        <f>IFERROR('HISTORICAL FS'!L16-'HISTORICAL FS'!L22,0)/'HISTORICAL FS'!L4</f>
        <v>0.11680480255914917</v>
      </c>
      <c r="N12" s="36">
        <f t="shared" si="0"/>
        <v>0.1157618744843173</v>
      </c>
      <c r="O12" s="36">
        <f t="shared" si="1"/>
        <v>0.11515237139567858</v>
      </c>
    </row>
    <row r="13" spans="2:15" x14ac:dyDescent="0.35">
      <c r="B13" t="s">
        <v>168</v>
      </c>
      <c r="C13" s="36">
        <f>'HISTORICAL FS'!C26</f>
        <v>9.7309810222941273E-2</v>
      </c>
      <c r="D13" s="36">
        <f>'HISTORICAL FS'!D26</f>
        <v>0.10137060213058555</v>
      </c>
      <c r="E13" s="36">
        <f>'HISTORICAL FS'!E26</f>
        <v>0.10121461633527198</v>
      </c>
      <c r="F13" s="36">
        <f>'HISTORICAL FS'!F26</f>
        <v>8.238245970260602E-2</v>
      </c>
      <c r="G13" s="36">
        <f>'HISTORICAL FS'!G26</f>
        <v>7.5477769453927493E-2</v>
      </c>
      <c r="H13" s="36">
        <f>'HISTORICAL FS'!H26</f>
        <v>7.0831019049681865E-2</v>
      </c>
      <c r="I13" s="36">
        <f>'HISTORICAL FS'!I26</f>
        <v>9.2439176418257218E-2</v>
      </c>
      <c r="J13" s="36">
        <f>'HISTORICAL FS'!J26</f>
        <v>9.4071629719898311E-2</v>
      </c>
      <c r="K13" s="36">
        <f>'HISTORICAL FS'!K26</f>
        <v>9.8491614954156703E-2</v>
      </c>
      <c r="L13" s="36">
        <f>'HISTORICAL FS'!L26</f>
        <v>9.1598637336158362E-2</v>
      </c>
      <c r="N13" s="36">
        <f t="shared" si="0"/>
        <v>9.0518733532348489E-2</v>
      </c>
      <c r="O13" s="36">
        <f t="shared" si="1"/>
        <v>9.3255403069077758E-2</v>
      </c>
    </row>
    <row r="14" spans="2:15" x14ac:dyDescent="0.35">
      <c r="B14" s="11" t="s">
        <v>169</v>
      </c>
      <c r="C14" s="36">
        <f>'HISTORICAL FS'!C32</f>
        <v>6.4747251295935546E-2</v>
      </c>
      <c r="D14" s="36">
        <f>'HISTORICAL FS'!D32</f>
        <v>6.7809602768840016E-2</v>
      </c>
      <c r="E14" s="36">
        <f>'HISTORICAL FS'!E32</f>
        <v>6.7066165502030331E-2</v>
      </c>
      <c r="F14" s="36">
        <f>'HISTORICAL FS'!F32</f>
        <v>5.5303455520228313E-2</v>
      </c>
      <c r="G14" s="36">
        <f>'HISTORICAL FS'!G32</f>
        <v>5.247377568173172E-2</v>
      </c>
      <c r="H14" s="36">
        <f>'HISTORICAL FS'!H32</f>
        <v>6.7138172920415087E-2</v>
      </c>
      <c r="I14" s="36">
        <f>'HISTORICAL FS'!I32</f>
        <v>6.944994263488001E-2</v>
      </c>
      <c r="J14" s="36">
        <f>'HISTORICAL FS'!J32</f>
        <v>7.0821865914495269E-2</v>
      </c>
      <c r="K14" s="36">
        <f>'HISTORICAL FS'!K32</f>
        <v>6.9897813336655387E-2</v>
      </c>
      <c r="L14" s="36">
        <f>'HISTORICAL FS'!L32</f>
        <v>6.5394362393801544E-2</v>
      </c>
      <c r="N14" s="36">
        <f t="shared" si="0"/>
        <v>6.501024079690132E-2</v>
      </c>
      <c r="O14" s="36">
        <f t="shared" si="1"/>
        <v>6.7102169211222709E-2</v>
      </c>
    </row>
    <row r="15" spans="2:15" x14ac:dyDescent="0.35"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7"/>
      <c r="O15" s="87"/>
    </row>
    <row r="16" spans="2:15" x14ac:dyDescent="0.35">
      <c r="B16" s="11" t="s">
        <v>170</v>
      </c>
      <c r="C16" s="36">
        <f>'HISTORICAL FS'!C14</f>
        <v>5.7112879379858615E-2</v>
      </c>
      <c r="D16" s="36">
        <f>'HISTORICAL FS'!D14</f>
        <v>5.1978259868269538E-2</v>
      </c>
      <c r="E16" s="36">
        <f>'HISTORICAL FS'!E14</f>
        <v>6.4630280203570409E-2</v>
      </c>
      <c r="F16" s="36">
        <f>'HISTORICAL FS'!F14</f>
        <v>8.425458838681979E-2</v>
      </c>
      <c r="G16" s="36">
        <f>'HISTORICAL FS'!G14</f>
        <v>0.10318110742962296</v>
      </c>
      <c r="H16" s="36">
        <f>'HISTORICAL FS'!H14</f>
        <v>0.12244722897147159</v>
      </c>
      <c r="I16" s="36">
        <f>'HISTORICAL FS'!I14</f>
        <v>9.2512592255636822E-2</v>
      </c>
      <c r="J16" s="36">
        <f>'HISTORICAL FS'!J14</f>
        <v>8.6722212333237486E-2</v>
      </c>
      <c r="K16" s="36">
        <f>'HISTORICAL FS'!K14</f>
        <v>9.4665315597397673E-2</v>
      </c>
      <c r="L16" s="36">
        <f>'HISTORICAL FS'!L14</f>
        <v>0.10053073263953802</v>
      </c>
      <c r="N16" s="36">
        <f t="shared" si="0"/>
        <v>8.5803519706542292E-2</v>
      </c>
      <c r="O16" s="36">
        <f t="shared" si="1"/>
        <v>8.9617402294437154E-2</v>
      </c>
    </row>
    <row r="17" spans="2:15" x14ac:dyDescent="0.35">
      <c r="B17" t="s">
        <v>171</v>
      </c>
      <c r="C17" s="36">
        <f>'HISTORICAL FS'!C23</f>
        <v>4.242744411793839E-2</v>
      </c>
      <c r="D17" s="36">
        <f>'HISTORICAL FS'!D23</f>
        <v>3.8315008192029057E-2</v>
      </c>
      <c r="E17" s="36">
        <f>'HISTORICAL FS'!E23</f>
        <v>4.2745693063100179E-2</v>
      </c>
      <c r="F17" s="36">
        <f>'HISTORICAL FS'!F23</f>
        <v>3.6833779958017863E-2</v>
      </c>
      <c r="G17" s="36">
        <f>'HISTORICAL FS'!G23</f>
        <v>3.721096267842508E-2</v>
      </c>
      <c r="H17" s="36">
        <f>'HISTORICAL FS'!H23</f>
        <v>5.6983918319905125E-2</v>
      </c>
      <c r="I17" s="36">
        <f>'HISTORICAL FS'!I23</f>
        <v>4.2871969977241089E-2</v>
      </c>
      <c r="J17" s="36">
        <f>'HISTORICAL FS'!J23</f>
        <v>4.5987202132369384E-2</v>
      </c>
      <c r="K17" s="36">
        <f>'HISTORICAL FS'!K23</f>
        <v>5.6540246774062587E-2</v>
      </c>
      <c r="L17" s="36">
        <f>'HISTORICAL FS'!L23</f>
        <v>5.5187885586090855E-2</v>
      </c>
      <c r="N17" s="36">
        <f t="shared" si="0"/>
        <v>4.5510411079917962E-2</v>
      </c>
      <c r="O17" s="36">
        <f t="shared" si="1"/>
        <v>4.2808831520170634E-2</v>
      </c>
    </row>
    <row r="18" spans="2:15" x14ac:dyDescent="0.35">
      <c r="B18" s="11" t="s">
        <v>172</v>
      </c>
      <c r="C18" s="36">
        <f>C12</f>
        <v>0.11085063998855395</v>
      </c>
      <c r="D18" s="36">
        <f t="shared" ref="D18:L18" si="2">D12</f>
        <v>0.11403370246813663</v>
      </c>
      <c r="E18" s="36">
        <f t="shared" si="2"/>
        <v>0.12181729325039724</v>
      </c>
      <c r="F18" s="36">
        <f t="shared" si="2"/>
        <v>0.11140573286623957</v>
      </c>
      <c r="G18" s="36">
        <f t="shared" si="2"/>
        <v>0.11239376616237541</v>
      </c>
      <c r="H18" s="36">
        <f t="shared" si="2"/>
        <v>0.11627104032322054</v>
      </c>
      <c r="I18" s="36">
        <f t="shared" si="2"/>
        <v>0.11343322685637702</v>
      </c>
      <c r="J18" s="36">
        <f t="shared" si="2"/>
        <v>0.11640285898155628</v>
      </c>
      <c r="K18" s="36">
        <f t="shared" si="2"/>
        <v>0.12420568138716699</v>
      </c>
      <c r="L18" s="36">
        <f t="shared" si="2"/>
        <v>0.11680480255914917</v>
      </c>
      <c r="N18" s="36">
        <f t="shared" si="0"/>
        <v>0.1157618744843173</v>
      </c>
      <c r="O18" s="36">
        <f t="shared" si="1"/>
        <v>0.11515237139567858</v>
      </c>
    </row>
    <row r="19" spans="2:15" x14ac:dyDescent="0.35"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7"/>
      <c r="O19" s="87"/>
    </row>
    <row r="20" spans="2:15" x14ac:dyDescent="0.35">
      <c r="B20" s="11" t="s">
        <v>173</v>
      </c>
      <c r="C20" s="36">
        <f>('HISTORICAL FS'!C16-'HISTORICAL FS'!C22)/(SUM('HISTORICAL FS'!C47,'HISTORICAL FS'!C48,'HISTORICAL FS'!C49))</f>
        <v>7.0884650573580121E-2</v>
      </c>
      <c r="D20" s="36">
        <f>('HISTORICAL FS'!D16-'HISTORICAL FS'!D22)/(SUM('HISTORICAL FS'!D47,'HISTORICAL FS'!D48,'HISTORICAL FS'!D49))</f>
        <v>7.203273591806876E-2</v>
      </c>
      <c r="E20" s="36">
        <f>('HISTORICAL FS'!E16-'HISTORICAL FS'!E22)/(SUM('HISTORICAL FS'!E47,'HISTORICAL FS'!E48,'HISTORICAL FS'!E49))</f>
        <v>8.9264252862572169E-2</v>
      </c>
      <c r="F20" s="36">
        <f>('HISTORICAL FS'!F16-'HISTORICAL FS'!F22)/(SUM('HISTORICAL FS'!F47,'HISTORICAL FS'!F48,'HISTORICAL FS'!F49))</f>
        <v>9.1124972295222109E-2</v>
      </c>
      <c r="G20" s="36">
        <f>('HISTORICAL FS'!G16-'HISTORICAL FS'!G22)/(SUM('HISTORICAL FS'!G47,'HISTORICAL FS'!G48,'HISTORICAL FS'!G49))</f>
        <v>8.3380683054436217E-2</v>
      </c>
      <c r="H20" s="36">
        <f>('HISTORICAL FS'!H16-'HISTORICAL FS'!H22)/(SUM('HISTORICAL FS'!H47,'HISTORICAL FS'!H48,'HISTORICAL FS'!H49))</f>
        <v>5.5373421819689642E-2</v>
      </c>
      <c r="I20" s="36">
        <f>('HISTORICAL FS'!I16-'HISTORICAL FS'!I22)/(SUM('HISTORICAL FS'!I47,'HISTORICAL FS'!I48,'HISTORICAL FS'!I49))</f>
        <v>7.1723935800801539E-2</v>
      </c>
      <c r="J20" s="36">
        <f>('HISTORICAL FS'!J16-'HISTORICAL FS'!J22)/(SUM('HISTORICAL FS'!J47,'HISTORICAL FS'!J48,'HISTORICAL FS'!J49))</f>
        <v>8.737632073015307E-2</v>
      </c>
      <c r="K20" s="36">
        <f>('HISTORICAL FS'!K16-'HISTORICAL FS'!K22)/(SUM('HISTORICAL FS'!K47,'HISTORICAL FS'!K48,'HISTORICAL FS'!K49))</f>
        <v>9.7593078133193498E-2</v>
      </c>
      <c r="L20" s="36">
        <f>('HISTORICAL FS'!L16-'HISTORICAL FS'!L22)/(SUM('HISTORICAL FS'!L47,'HISTORICAL FS'!L48,'HISTORICAL FS'!L49))</f>
        <v>9.2370266272310847E-2</v>
      </c>
      <c r="N20" s="36">
        <f t="shared" si="0"/>
        <v>8.1112431746002786E-2</v>
      </c>
      <c r="O20" s="36">
        <f t="shared" si="1"/>
        <v>8.537850189229465E-2</v>
      </c>
    </row>
    <row r="21" spans="2:15" x14ac:dyDescent="0.35">
      <c r="B21" t="s">
        <v>174</v>
      </c>
      <c r="C21" s="35">
        <f>IFERROR('HISTORICAL FS'!C43,0)</f>
        <v>0.8246132925378209</v>
      </c>
      <c r="D21" s="35">
        <f>IFERROR('HISTORICAL FS'!D43,0)</f>
        <v>0.84207947212653433</v>
      </c>
      <c r="E21" s="35">
        <f>IFERROR('HISTORICAL FS'!E43,0)</f>
        <v>0.86443859448323224</v>
      </c>
      <c r="F21" s="35">
        <f>IFERROR('HISTORICAL FS'!F43,0)</f>
        <v>0.87744901530336294</v>
      </c>
      <c r="G21" s="35">
        <f>IFERROR('HISTORICAL FS'!G43,0)</f>
        <v>0.86840146917917593</v>
      </c>
      <c r="H21" s="35">
        <f>IFERROR('HISTORICAL FS'!H43,0)</f>
        <v>0.85589484779761715</v>
      </c>
      <c r="I21" s="35">
        <f>IFERROR('HISTORICAL FS'!I43,0)</f>
        <v>0.88782257228728367</v>
      </c>
      <c r="J21" s="35">
        <f>IFERROR('HISTORICAL FS'!J43,0)</f>
        <v>0.90189147386737123</v>
      </c>
      <c r="K21" s="35">
        <f>IFERROR('HISTORICAL FS'!K43,0)</f>
        <v>0.89233143966518669</v>
      </c>
      <c r="L21" s="35">
        <f>IFERROR('HISTORICAL FS'!L43,0)</f>
        <v>0.88179406953290029</v>
      </c>
      <c r="N21" s="36">
        <f t="shared" si="0"/>
        <v>0.86967162467804848</v>
      </c>
      <c r="O21" s="36">
        <f t="shared" si="1"/>
        <v>0.87292524224126944</v>
      </c>
    </row>
    <row r="22" spans="2:15" x14ac:dyDescent="0.35">
      <c r="B22" t="s">
        <v>175</v>
      </c>
      <c r="C22" s="36">
        <f>IFERROR('HISTORICAL FS'!C31/SUM('HISTORICAL FS'!C47,'HISTORICAL FS'!C48),0)</f>
        <v>7.6219143533313757E-2</v>
      </c>
      <c r="D22" s="36">
        <f>IFERROR('HISTORICAL FS'!D31/SUM('HISTORICAL FS'!D47,'HISTORICAL FS'!D48),0)</f>
        <v>7.8158121262452168E-2</v>
      </c>
      <c r="E22" s="36">
        <f>IFERROR('HISTORICAL FS'!E31/SUM('HISTORICAL FS'!E47,'HISTORICAL FS'!E48),0)</f>
        <v>8.9303114757449592E-2</v>
      </c>
      <c r="F22" s="36">
        <f>IFERROR('HISTORICAL FS'!F31/SUM('HISTORICAL FS'!F47,'HISTORICAL FS'!F48),0)</f>
        <v>8.119355638678212E-2</v>
      </c>
      <c r="G22" s="36">
        <f>IFERROR('HISTORICAL FS'!G31/SUM('HISTORICAL FS'!G47,'HISTORICAL FS'!G48),0)</f>
        <v>6.970696802518446E-2</v>
      </c>
      <c r="H22" s="36">
        <f>IFERROR('HISTORICAL FS'!H31/SUM('HISTORICAL FS'!H47,'HISTORICAL FS'!H48),0)</f>
        <v>4.4713299017955586E-2</v>
      </c>
      <c r="I22" s="36">
        <f>IFERROR('HISTORICAL FS'!I31/SUM('HISTORICAL FS'!I47,'HISTORICAL FS'!I48),0)</f>
        <v>6.1893429636234183E-2</v>
      </c>
      <c r="J22" s="36">
        <f>IFERROR('HISTORICAL FS'!J31/SUM('HISTORICAL FS'!J47,'HISTORICAL FS'!J48),0)</f>
        <v>8.670265075320728E-2</v>
      </c>
      <c r="K22" s="36">
        <f>IFERROR('HISTORICAL FS'!K31/SUM('HISTORICAL FS'!K47,'HISTORICAL FS'!K48),0)</f>
        <v>7.9196603321314563E-2</v>
      </c>
      <c r="L22" s="36">
        <f>IFERROR('HISTORICAL FS'!L31/SUM('HISTORICAL FS'!L47,'HISTORICAL FS'!L48),0)</f>
        <v>7.4671489563567367E-2</v>
      </c>
      <c r="N22" s="36">
        <f t="shared" si="0"/>
        <v>7.4175837625746116E-2</v>
      </c>
      <c r="O22" s="36">
        <f t="shared" si="1"/>
        <v>7.7188632397882956E-2</v>
      </c>
    </row>
    <row r="23" spans="2:15" x14ac:dyDescent="0.35">
      <c r="B23" t="s">
        <v>176</v>
      </c>
      <c r="C23" s="36">
        <f>C22*C21</f>
        <v>6.2851318903418621E-2</v>
      </c>
      <c r="D23" s="36">
        <f t="shared" ref="D23:L23" si="3">D22*D21</f>
        <v>6.5815349495087383E-2</v>
      </c>
      <c r="E23" s="36">
        <f t="shared" si="3"/>
        <v>7.7197059003904514E-2</v>
      </c>
      <c r="F23" s="36">
        <f t="shared" si="3"/>
        <v>7.124320610056005E-2</v>
      </c>
      <c r="G23" s="36">
        <f t="shared" si="3"/>
        <v>6.0533633445096026E-2</v>
      </c>
      <c r="H23" s="36">
        <f t="shared" si="3"/>
        <v>3.8269882257502441E-2</v>
      </c>
      <c r="I23" s="36">
        <f t="shared" si="3"/>
        <v>5.495038390732343E-2</v>
      </c>
      <c r="J23" s="36">
        <f t="shared" si="3"/>
        <v>7.8196381476018054E-2</v>
      </c>
      <c r="K23" s="36">
        <f t="shared" si="3"/>
        <v>7.0669619058301325E-2</v>
      </c>
      <c r="L23" s="36">
        <f t="shared" si="3"/>
        <v>6.5844876660341556E-2</v>
      </c>
      <c r="N23" s="36">
        <f t="shared" si="0"/>
        <v>6.4557171030755339E-2</v>
      </c>
      <c r="O23" s="36">
        <f t="shared" si="1"/>
        <v>6.5830113077714469E-2</v>
      </c>
    </row>
    <row r="24" spans="2:15" x14ac:dyDescent="0.35">
      <c r="B24" s="11" t="s">
        <v>177</v>
      </c>
      <c r="C24" s="79">
        <f>('HISTORICAL FS'!C16-'HISTORICAL FS'!C22)/'HISTORICAL FS'!C19</f>
        <v>8.1863993497697098</v>
      </c>
      <c r="D24" s="79">
        <f>('HISTORICAL FS'!D16-'HISTORICAL FS'!D22)/'HISTORICAL FS'!D19</f>
        <v>9.0051961548454145</v>
      </c>
      <c r="E24" s="79">
        <f>('HISTORICAL FS'!E16-'HISTORICAL FS'!E22)/'HISTORICAL FS'!E19</f>
        <v>5.9126924987580729</v>
      </c>
      <c r="F24" s="79">
        <f>('HISTORICAL FS'!F16-'HISTORICAL FS'!F22)/'HISTORICAL FS'!F19</f>
        <v>3.8384965140951803</v>
      </c>
      <c r="G24" s="79">
        <f>('HISTORICAL FS'!G16-'HISTORICAL FS'!G22)/'HISTORICAL FS'!G19</f>
        <v>3.0445816497934355</v>
      </c>
      <c r="H24" s="79">
        <f>('HISTORICAL FS'!H16-'HISTORICAL FS'!H22)/'HISTORICAL FS'!H19</f>
        <v>2.5587804993156826</v>
      </c>
      <c r="I24" s="79">
        <f>('HISTORICAL FS'!I16-'HISTORICAL FS'!I22)/'HISTORICAL FS'!I19</f>
        <v>5.4031130005485464</v>
      </c>
      <c r="J24" s="79">
        <f>('HISTORICAL FS'!J16-'HISTORICAL FS'!J22)/'HISTORICAL FS'!J19</f>
        <v>5.2125593991109298</v>
      </c>
      <c r="K24" s="79">
        <f>('HISTORICAL FS'!K16-'HISTORICAL FS'!K22)/'HISTORICAL FS'!K19</f>
        <v>4.8302621334025435</v>
      </c>
      <c r="L24" s="79">
        <f>('HISTORICAL FS'!L16-'HISTORICAL FS'!L22)/'HISTORICAL FS'!L19</f>
        <v>4.6339775021632539</v>
      </c>
      <c r="N24" s="86">
        <f t="shared" si="0"/>
        <v>5.262605870180276</v>
      </c>
      <c r="O24" s="86">
        <f t="shared" si="1"/>
        <v>5.0214107662567367</v>
      </c>
    </row>
    <row r="25" spans="2:15" x14ac:dyDescent="0.35"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0"/>
      <c r="N25" s="87"/>
      <c r="O25" s="87"/>
    </row>
    <row r="26" spans="2:15" x14ac:dyDescent="0.35">
      <c r="B26" s="11" t="s">
        <v>178</v>
      </c>
      <c r="C26" s="86">
        <f>IFERROR('HISTORICAL FS'!C4/'HISTORICAL FS'!C59,0)</f>
        <v>61.048824188129899</v>
      </c>
      <c r="D26" s="86">
        <f>IFERROR('HISTORICAL FS'!D4/'HISTORICAL FS'!D59,0)</f>
        <v>37.171823407117522</v>
      </c>
      <c r="E26" s="86">
        <f>IFERROR('HISTORICAL FS'!E4/'HISTORICAL FS'!E59,0)</f>
        <v>22.262774138422103</v>
      </c>
      <c r="F26" s="86">
        <f>IFERROR('HISTORICAL FS'!F4/'HISTORICAL FS'!F59,0)</f>
        <v>18.88853069227957</v>
      </c>
      <c r="G26" s="86">
        <f>IFERROR('HISTORICAL FS'!G4/'HISTORICAL FS'!G59,0)</f>
        <v>30.356074481074479</v>
      </c>
      <c r="H26" s="86">
        <f>IFERROR('HISTORICAL FS'!H4/'HISTORICAL FS'!H59,0)</f>
        <v>24.524403071421059</v>
      </c>
      <c r="I26" s="86">
        <f>IFERROR('HISTORICAL FS'!I4/'HISTORICAL FS'!I59,0)</f>
        <v>29.385490693739424</v>
      </c>
      <c r="J26" s="86">
        <f>IFERROR('HISTORICAL FS'!J4/'HISTORICAL FS'!J59,0)</f>
        <v>30.806946006749158</v>
      </c>
      <c r="K26" s="86">
        <f>IFERROR('HISTORICAL FS'!K4/'HISTORICAL FS'!K59,0)</f>
        <v>28.425477425066397</v>
      </c>
      <c r="L26" s="86">
        <f>IFERROR('HISTORICAL FS'!L4/'HISTORICAL FS'!L59,0)</f>
        <v>22.858431661166637</v>
      </c>
      <c r="N26" s="86">
        <f t="shared" si="0"/>
        <v>30.572877576516625</v>
      </c>
      <c r="O26" s="86">
        <f t="shared" si="1"/>
        <v>28.905484059402909</v>
      </c>
    </row>
    <row r="27" spans="2:15" x14ac:dyDescent="0.35">
      <c r="B27" t="s">
        <v>179</v>
      </c>
      <c r="C27" s="86">
        <f>IFERROR('HISTORICAL FS'!C4/'HISTORICAL FS'!C50,0)</f>
        <v>1.5781145970230479</v>
      </c>
      <c r="D27" s="86">
        <f>IFERROR('HISTORICAL FS'!D4/'HISTORICAL FS'!D50,0)</f>
        <v>1.3472063399196872</v>
      </c>
      <c r="E27" s="86">
        <f>IFERROR('HISTORICAL FS'!E4/'HISTORICAL FS'!E50,0)</f>
        <v>1.4062225644420776</v>
      </c>
      <c r="F27" s="86">
        <f>IFERROR('HISTORICAL FS'!F4/'HISTORICAL FS'!F50,0)</f>
        <v>1.8769137792103143</v>
      </c>
      <c r="G27" s="86">
        <f>IFERROR('HISTORICAL FS'!G4/'HISTORICAL FS'!G50,0)</f>
        <v>1.6633743685812732</v>
      </c>
      <c r="H27" s="86">
        <f>IFERROR('HISTORICAL FS'!H4/'HISTORICAL FS'!H50,0)</f>
        <v>1.3677459661925726</v>
      </c>
      <c r="I27" s="86">
        <f>IFERROR('HISTORICAL FS'!I4/'HISTORICAL FS'!I50,0)</f>
        <v>1.7367736806182326</v>
      </c>
      <c r="J27" s="86">
        <f>IFERROR('HISTORICAL FS'!J4/'HISTORICAL FS'!J50,0)</f>
        <v>1.9993247343422775</v>
      </c>
      <c r="K27" s="86">
        <f>IFERROR('HISTORICAL FS'!K4/'HISTORICAL FS'!K50,0)</f>
        <v>1.4717916732149405</v>
      </c>
      <c r="L27" s="86">
        <f>IFERROR('HISTORICAL FS'!L4/'HISTORICAL FS'!L50,0)</f>
        <v>1.3149685878175361</v>
      </c>
      <c r="N27" s="86">
        <f t="shared" si="0"/>
        <v>1.5762436291361959</v>
      </c>
      <c r="O27" s="86">
        <f t="shared" si="1"/>
        <v>1.5249531351189942</v>
      </c>
    </row>
    <row r="28" spans="2:15" x14ac:dyDescent="0.35">
      <c r="B28" t="s">
        <v>47</v>
      </c>
      <c r="C28" s="86">
        <f>IFERROR('HISTORICAL FS'!C4/'HISTORICAL FS'!C60,0)</f>
        <v>5.8637654347545496</v>
      </c>
      <c r="D28" s="86">
        <f>IFERROR('HISTORICAL FS'!D4/'HISTORICAL FS'!D60,0)</f>
        <v>6.2093522093522093</v>
      </c>
      <c r="E28" s="86">
        <f>IFERROR('HISTORICAL FS'!E4/'HISTORICAL FS'!E60,0)</f>
        <v>6.4241004651774416</v>
      </c>
      <c r="F28" s="86">
        <f>IFERROR('HISTORICAL FS'!F4/'HISTORICAL FS'!F60,0)</f>
        <v>8.41220526635189</v>
      </c>
      <c r="G28" s="86">
        <f>IFERROR('HISTORICAL FS'!G4/'HISTORICAL FS'!G60,0)</f>
        <v>8.0738129710566557</v>
      </c>
      <c r="H28" s="86">
        <f>IFERROR('HISTORICAL FS'!H4/'HISTORICAL FS'!H60,0)</f>
        <v>5.7095087667744151</v>
      </c>
      <c r="I28" s="86">
        <f>IFERROR('HISTORICAL FS'!I4/'HISTORICAL FS'!I60,0)</f>
        <v>6.4454062981313438</v>
      </c>
      <c r="J28" s="86">
        <f>IFERROR('HISTORICAL FS'!J4/'HISTORICAL FS'!J60,0)</f>
        <v>6.2596137363579221</v>
      </c>
      <c r="K28" s="86">
        <f>IFERROR('HISTORICAL FS'!K4/'HISTORICAL FS'!K60,0)</f>
        <v>5.8849315965176405</v>
      </c>
      <c r="L28" s="86">
        <f>IFERROR('HISTORICAL FS'!L4/'HISTORICAL FS'!L60,0)</f>
        <v>6.5918582519751885</v>
      </c>
      <c r="N28" s="88">
        <f t="shared" si="0"/>
        <v>6.5874554996449248</v>
      </c>
      <c r="O28" s="86">
        <f t="shared" si="1"/>
        <v>6.3418571007676814</v>
      </c>
    </row>
    <row r="29" spans="2:15" x14ac:dyDescent="0.35">
      <c r="B29" t="s">
        <v>180</v>
      </c>
      <c r="C29" s="86">
        <f>IFERROR('HISTORICAL FS'!C4/'HISTORICAL FS'!C53,0)</f>
        <v>1.4741387702125359</v>
      </c>
      <c r="D29" s="86">
        <f>IFERROR('HISTORICAL FS'!D4/'HISTORICAL FS'!D53,0)</f>
        <v>1.5310538669997884</v>
      </c>
      <c r="E29" s="86">
        <f>IFERROR('HISTORICAL FS'!E4/'HISTORICAL FS'!E53,0)</f>
        <v>0.96765911088552437</v>
      </c>
      <c r="F29" s="86">
        <f>IFERROR('HISTORICAL FS'!F4/'HISTORICAL FS'!F53,0)</f>
        <v>1.4266417989125797</v>
      </c>
      <c r="G29" s="86">
        <f>IFERROR('HISTORICAL FS'!G4/'HISTORICAL FS'!G53,0)</f>
        <v>1.1201915675724385</v>
      </c>
      <c r="H29" s="86">
        <f>IFERROR('HISTORICAL FS'!H4/'HISTORICAL FS'!H53,0)</f>
        <v>0.86152444859937405</v>
      </c>
      <c r="I29" s="86">
        <f>IFERROR('HISTORICAL FS'!I4/'HISTORICAL FS'!I53,0)</f>
        <v>1.1065231173084336</v>
      </c>
      <c r="J29" s="86">
        <f>IFERROR('HISTORICAL FS'!J4/'HISTORICAL FS'!J53,0)</f>
        <v>1.2091472878912259</v>
      </c>
      <c r="K29" s="86">
        <f>IFERROR('HISTORICAL FS'!K4/'HISTORICAL FS'!K53,0)</f>
        <v>1.1526388327980666</v>
      </c>
      <c r="L29" s="86">
        <f>IFERROR('HISTORICAL FS'!L4/'HISTORICAL FS'!L53,0)</f>
        <v>0.9634047867055302</v>
      </c>
      <c r="N29" s="86">
        <f t="shared" si="0"/>
        <v>1.1812923587885495</v>
      </c>
      <c r="O29" s="86">
        <f t="shared" si="1"/>
        <v>1.1364152001852525</v>
      </c>
    </row>
    <row r="30" spans="2:15" x14ac:dyDescent="0.35">
      <c r="B30" s="11" t="s">
        <v>181</v>
      </c>
      <c r="C30" s="86">
        <f>IFERROR('HISTORICAL FS'!C4/SUM('HISTORICAL FS'!C47,'HISTORICAL FS'!C48),0)</f>
        <v>1.1771796023424139</v>
      </c>
      <c r="D30" s="86">
        <f>IFERROR('HISTORICAL FS'!D4/SUM('HISTORICAL FS'!D47,'HISTORICAL FS'!D48),0)</f>
        <v>1.1526114012035995</v>
      </c>
      <c r="E30" s="86">
        <f>IFERROR('HISTORICAL FS'!E4/SUM('HISTORICAL FS'!E47,'HISTORICAL FS'!E48),0)</f>
        <v>1.3315673274140905</v>
      </c>
      <c r="F30" s="86">
        <f>IFERROR('HISTORICAL FS'!F4/SUM('HISTORICAL FS'!F47,'HISTORICAL FS'!F48),0)</f>
        <v>1.4681461695839964</v>
      </c>
      <c r="G30" s="86">
        <f>IFERROR('HISTORICAL FS'!G4/SUM('HISTORICAL FS'!G47,'HISTORICAL FS'!G48),0)</f>
        <v>1.3284153297444596</v>
      </c>
      <c r="H30" s="86">
        <f>IFERROR('HISTORICAL FS'!H4/SUM('HISTORICAL FS'!H47,'HISTORICAL FS'!H48),0)</f>
        <v>0.66598921407882639</v>
      </c>
      <c r="I30" s="86">
        <f>IFERROR('HISTORICAL FS'!I4/SUM('HISTORICAL FS'!I47,'HISTORICAL FS'!I48),0)</f>
        <v>0.89119482735395805</v>
      </c>
      <c r="J30" s="86">
        <f>IFERROR('HISTORICAL FS'!J4/SUM('HISTORICAL FS'!J47,'HISTORICAL FS'!J48),0)</f>
        <v>1.224235617540566</v>
      </c>
      <c r="K30" s="86">
        <f>IFERROR('HISTORICAL FS'!K4/SUM('HISTORICAL FS'!K47,'HISTORICAL FS'!K48),0)</f>
        <v>1.133034061307076</v>
      </c>
      <c r="L30" s="86">
        <f>IFERROR('HISTORICAL FS'!L4/SUM('HISTORICAL FS'!L47,'HISTORICAL FS'!L48),0)</f>
        <v>1.1418643263757116</v>
      </c>
      <c r="N30" s="86">
        <f t="shared" si="0"/>
        <v>1.1514237876944697</v>
      </c>
      <c r="O30" s="86">
        <f t="shared" si="1"/>
        <v>1.1648955017730067</v>
      </c>
    </row>
    <row r="31" spans="2:15" x14ac:dyDescent="0.35"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0"/>
      <c r="M31" s="80"/>
      <c r="N31" s="87"/>
      <c r="O31" s="87"/>
    </row>
    <row r="32" spans="2:15" x14ac:dyDescent="0.35">
      <c r="B32" s="11" t="s">
        <v>46</v>
      </c>
      <c r="C32" s="85">
        <f>IFERROR(365/C26,0)</f>
        <v>5.9788211297109504</v>
      </c>
      <c r="D32" s="85">
        <f t="shared" ref="D32:L32" si="4">IFERROR(365/D26,0)</f>
        <v>9.8192654151615049</v>
      </c>
      <c r="E32" s="85">
        <f t="shared" si="4"/>
        <v>16.395081661007669</v>
      </c>
      <c r="F32" s="85">
        <f t="shared" si="4"/>
        <v>19.323895857563382</v>
      </c>
      <c r="G32" s="85">
        <f t="shared" si="4"/>
        <v>12.023952577516555</v>
      </c>
      <c r="H32" s="85">
        <f t="shared" si="4"/>
        <v>14.883134930421374</v>
      </c>
      <c r="I32" s="85">
        <f t="shared" si="4"/>
        <v>12.421095968894718</v>
      </c>
      <c r="J32" s="85">
        <f t="shared" si="4"/>
        <v>11.847977398345041</v>
      </c>
      <c r="K32" s="85">
        <f t="shared" si="4"/>
        <v>12.840593476826974</v>
      </c>
      <c r="L32" s="85">
        <f t="shared" si="4"/>
        <v>15.967849649986499</v>
      </c>
      <c r="N32" s="85">
        <f t="shared" si="0"/>
        <v>13.150166806543467</v>
      </c>
      <c r="O32" s="85">
        <f t="shared" si="1"/>
        <v>12.630844722860846</v>
      </c>
    </row>
    <row r="33" spans="2:15" x14ac:dyDescent="0.35">
      <c r="B33" t="s">
        <v>182</v>
      </c>
      <c r="C33" s="85">
        <f>IFERROR(365/C27,0)</f>
        <v>231.28865336429638</v>
      </c>
      <c r="D33" s="85">
        <f t="shared" ref="D33:L33" si="5">IFERROR(365/D27,0)</f>
        <v>270.93102903728857</v>
      </c>
      <c r="E33" s="85">
        <f t="shared" si="5"/>
        <v>259.56061951318117</v>
      </c>
      <c r="F33" s="85">
        <f t="shared" si="5"/>
        <v>194.46817645164751</v>
      </c>
      <c r="G33" s="85">
        <f t="shared" si="5"/>
        <v>219.43346422448252</v>
      </c>
      <c r="H33" s="85">
        <f t="shared" si="5"/>
        <v>266.86242110884035</v>
      </c>
      <c r="I33" s="85">
        <f t="shared" si="5"/>
        <v>210.15979460839847</v>
      </c>
      <c r="J33" s="85">
        <f t="shared" si="5"/>
        <v>182.56163880255045</v>
      </c>
      <c r="K33" s="85">
        <f t="shared" si="5"/>
        <v>247.99705463933236</v>
      </c>
      <c r="L33" s="85">
        <f t="shared" si="5"/>
        <v>277.57317047838643</v>
      </c>
      <c r="N33" s="85">
        <f t="shared" si="0"/>
        <v>236.08360222284045</v>
      </c>
      <c r="O33" s="85">
        <f t="shared" si="1"/>
        <v>239.64285400181438</v>
      </c>
    </row>
    <row r="34" spans="2:15" x14ac:dyDescent="0.35">
      <c r="B34" t="s">
        <v>183</v>
      </c>
      <c r="C34" s="85">
        <f>IFERROR(365/C28,0)</f>
        <v>62.246691833313157</v>
      </c>
      <c r="D34" s="85">
        <f t="shared" ref="D34:L34" si="6">IFERROR(365/D28,0)</f>
        <v>58.782299295288105</v>
      </c>
      <c r="E34" s="85">
        <f t="shared" si="6"/>
        <v>56.817293250397235</v>
      </c>
      <c r="F34" s="85">
        <f t="shared" si="6"/>
        <v>43.389335904577742</v>
      </c>
      <c r="G34" s="85">
        <f t="shared" si="6"/>
        <v>45.207883971113446</v>
      </c>
      <c r="H34" s="85">
        <f t="shared" si="6"/>
        <v>63.928441992078177</v>
      </c>
      <c r="I34" s="85">
        <f t="shared" si="6"/>
        <v>56.629478905902495</v>
      </c>
      <c r="J34" s="85">
        <f t="shared" si="6"/>
        <v>58.310307212721192</v>
      </c>
      <c r="K34" s="85">
        <f t="shared" si="6"/>
        <v>62.022810973025706</v>
      </c>
      <c r="L34" s="85">
        <f t="shared" si="6"/>
        <v>55.371336283002016</v>
      </c>
      <c r="N34" s="85">
        <f t="shared" si="0"/>
        <v>56.270587962141917</v>
      </c>
      <c r="O34" s="85">
        <f t="shared" si="1"/>
        <v>57.563800231559213</v>
      </c>
    </row>
    <row r="35" spans="2:15" x14ac:dyDescent="0.35">
      <c r="B35" s="78" t="s">
        <v>184</v>
      </c>
      <c r="C35" s="85">
        <f>C32+C34-C33</f>
        <v>-163.06314040127228</v>
      </c>
      <c r="D35" s="85">
        <f t="shared" ref="D35:L35" si="7">D32+D34-D33</f>
        <v>-202.32946432683894</v>
      </c>
      <c r="E35" s="85">
        <f t="shared" si="7"/>
        <v>-186.34824460177626</v>
      </c>
      <c r="F35" s="85">
        <f t="shared" si="7"/>
        <v>-131.75494468950637</v>
      </c>
      <c r="G35" s="85">
        <f t="shared" si="7"/>
        <v>-162.20162767585254</v>
      </c>
      <c r="H35" s="85">
        <f t="shared" si="7"/>
        <v>-188.05084418634078</v>
      </c>
      <c r="I35" s="85">
        <f t="shared" si="7"/>
        <v>-141.10921973360126</v>
      </c>
      <c r="J35" s="85">
        <f t="shared" si="7"/>
        <v>-112.40335419148421</v>
      </c>
      <c r="K35" s="85">
        <f t="shared" si="7"/>
        <v>-173.13365018947968</v>
      </c>
      <c r="L35" s="85">
        <f t="shared" si="7"/>
        <v>-206.2339845453979</v>
      </c>
      <c r="N35" s="85">
        <f t="shared" si="0"/>
        <v>-166.66284745415504</v>
      </c>
      <c r="O35" s="85">
        <f t="shared" si="1"/>
        <v>-168.09839529537598</v>
      </c>
    </row>
    <row r="36" spans="2:15" x14ac:dyDescent="0.35">
      <c r="C36" s="81"/>
      <c r="D36" s="81"/>
      <c r="E36" s="81"/>
      <c r="F36" s="81"/>
      <c r="G36" s="81"/>
      <c r="H36" s="81"/>
      <c r="I36" s="81"/>
      <c r="J36" s="81"/>
      <c r="K36" s="81"/>
      <c r="L36" s="80"/>
      <c r="M36" s="80"/>
      <c r="N36" s="87"/>
      <c r="O36" s="87"/>
    </row>
    <row r="37" spans="2:15" x14ac:dyDescent="0.35">
      <c r="B37" s="77" t="s">
        <v>185</v>
      </c>
      <c r="C37" s="36">
        <f>IFERROR('HISTORICAL FS'!C77/'HISTORICAL FS'!C4,0)</f>
        <v>0.16862020008584541</v>
      </c>
      <c r="D37" s="36">
        <f>IFERROR('HISTORICAL FS'!D77/'HISTORICAL FS'!D4,0)</f>
        <v>0.21389091770465268</v>
      </c>
      <c r="E37" s="36">
        <f>IFERROR('HISTORICAL FS'!E77/'HISTORICAL FS'!E4,0)</f>
        <v>0.23027559790493396</v>
      </c>
      <c r="F37" s="36">
        <f>IFERROR('HISTORICAL FS'!F77/'HISTORICAL FS'!F4,0)</f>
        <v>2.3866121684845434E-2</v>
      </c>
      <c r="G37" s="36">
        <f>IFERROR('HISTORICAL FS'!G77/'HISTORICAL FS'!G4,0)</f>
        <v>0.18903464006609919</v>
      </c>
      <c r="H37" s="36">
        <f>IFERROR('HISTORICAL FS'!H77/'HISTORICAL FS'!H4,0)</f>
        <v>-4.9323728788115986E-2</v>
      </c>
      <c r="I37" s="36">
        <f>IFERROR('HISTORICAL FS'!I77/'HISTORICAL FS'!I4,0)</f>
        <v>0.16033299120593431</v>
      </c>
      <c r="J37" s="36">
        <f>IFERROR('HISTORICAL FS'!J77/'HISTORICAL FS'!J4,0)</f>
        <v>0.10885261913564188</v>
      </c>
      <c r="K37" s="36">
        <f>IFERROR('HISTORICAL FS'!K77/'HISTORICAL FS'!K4,0)</f>
        <v>0.18370018719947143</v>
      </c>
      <c r="L37" s="36">
        <f>IFERROR('HISTORICAL FS'!L77/'HISTORICAL FS'!L4,0)</f>
        <v>0.21024386697409692</v>
      </c>
      <c r="N37" s="36">
        <f t="shared" si="0"/>
        <v>0.14394934131734052</v>
      </c>
      <c r="O37" s="36">
        <f t="shared" si="1"/>
        <v>0.17616019364265842</v>
      </c>
    </row>
    <row r="38" spans="2:15" x14ac:dyDescent="0.35">
      <c r="B38" t="s">
        <v>186</v>
      </c>
      <c r="C38" s="36">
        <f>IFERROR('HISTORICAL FS'!C77/'HISTORICAL FS'!C64,0)</f>
        <v>7.6733272453785251E-2</v>
      </c>
      <c r="D38" s="36">
        <f>IFERROR('HISTORICAL FS'!D77/'HISTORICAL FS'!D64,0)</f>
        <v>9.1981912897812962E-2</v>
      </c>
      <c r="E38" s="36">
        <f>IFERROR('HISTORICAL FS'!E77/'HISTORICAL FS'!E64,0)</f>
        <v>0.11093306445549156</v>
      </c>
      <c r="F38" s="36">
        <f>IFERROR('HISTORICAL FS'!F77/'HISTORICAL FS'!F64,0)</f>
        <v>1.3596223048625242E-2</v>
      </c>
      <c r="G38" s="36">
        <f>IFERROR('HISTORICAL FS'!G77/'HISTORICAL FS'!G64,0)</f>
        <v>9.6983271926845305E-2</v>
      </c>
      <c r="H38" s="36">
        <f>IFERROR('HISTORICAL FS'!H77/'HISTORICAL FS'!H64,0)</f>
        <v>-1.7423384454553374E-2</v>
      </c>
      <c r="I38" s="36">
        <f>IFERROR('HISTORICAL FS'!I77/'HISTORICAL FS'!I64,0)</f>
        <v>7.4320942839488549E-2</v>
      </c>
      <c r="J38" s="36">
        <f>IFERROR('HISTORICAL FS'!J77/'HISTORICAL FS'!J64,0)</f>
        <v>5.9405361041471288E-2</v>
      </c>
      <c r="K38" s="36">
        <f>IFERROR('HISTORICAL FS'!K77/'HISTORICAL FS'!K64,0)</f>
        <v>9.4102269567555991E-2</v>
      </c>
      <c r="L38" s="36">
        <f>IFERROR('HISTORICAL FS'!L77/'HISTORICAL FS'!L64,0)</f>
        <v>0.10382399871160525</v>
      </c>
      <c r="N38" s="36">
        <f t="shared" si="0"/>
        <v>7.0445693248812807E-2</v>
      </c>
      <c r="O38" s="36">
        <f t="shared" si="1"/>
        <v>8.4357592675799106E-2</v>
      </c>
    </row>
    <row r="39" spans="2:15" x14ac:dyDescent="0.35">
      <c r="B39" s="11" t="s">
        <v>187</v>
      </c>
      <c r="C39" s="36">
        <f>IFERROR('HISTORICAL FS'!C77/'HISTORICAL FS'!C49,0)</f>
        <v>0.23605390470125415</v>
      </c>
      <c r="D39" s="36">
        <f>IFERROR('HISTORICAL FS'!D77/'HISTORICAL FS'!D49,0)</f>
        <v>0.29894470628807907</v>
      </c>
      <c r="E39" s="36">
        <f>IFERROR('HISTORICAL FS'!E77/'HISTORICAL FS'!E49,0)</f>
        <v>0.37523296489787067</v>
      </c>
      <c r="F39" s="36">
        <f>IFERROR('HISTORICAL FS'!F77/'HISTORICAL FS'!F49,0)</f>
        <v>4.4079892367588087E-2</v>
      </c>
      <c r="G39" s="36">
        <f>IFERROR('HISTORICAL FS'!G77/'HISTORICAL FS'!G49,0)</f>
        <v>0.31760776948354558</v>
      </c>
      <c r="H39" s="36">
        <f>IFERROR('HISTORICAL FS'!H77/'HISTORICAL FS'!H49,0)</f>
        <v>-8.244850553121931E-2</v>
      </c>
      <c r="I39" s="36">
        <f>IFERROR('HISTORICAL FS'!I77/'HISTORICAL FS'!I49,0)</f>
        <v>0.34897762236885804</v>
      </c>
      <c r="J39" s="36">
        <f>IFERROR('HISTORICAL FS'!J77/'HISTORICAL FS'!J49,0)</f>
        <v>0.2112145311559035</v>
      </c>
      <c r="K39" s="36">
        <f>IFERROR('HISTORICAL FS'!K77/'HISTORICAL FS'!K49,0)</f>
        <v>0.47090120580863881</v>
      </c>
      <c r="L39" s="36">
        <f>IFERROR('HISTORICAL FS'!L77/'HISTORICAL FS'!L49,0)</f>
        <v>0.54079607173675504</v>
      </c>
      <c r="N39" s="36">
        <f t="shared" si="0"/>
        <v>0.27613601632772738</v>
      </c>
      <c r="O39" s="36">
        <f t="shared" si="1"/>
        <v>0.30827623788581232</v>
      </c>
    </row>
    <row r="40" spans="2:15" ht="15" thickBot="1" x14ac:dyDescent="0.4"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0"/>
      <c r="M40" s="80"/>
      <c r="N40" s="87"/>
      <c r="O40" s="87"/>
    </row>
    <row r="41" spans="2:15" x14ac:dyDescent="0.35">
      <c r="B41" s="82" t="s">
        <v>188</v>
      </c>
      <c r="N41" s="36"/>
      <c r="O41" s="36"/>
    </row>
    <row r="42" spans="2:15" x14ac:dyDescent="0.35">
      <c r="B42" t="s">
        <v>189</v>
      </c>
      <c r="C42" s="36">
        <f>IFERROR('HISTORICAL FS'!C31/'HISTORICAL FS'!C64,0)</f>
        <v>2.9464254411958657E-2</v>
      </c>
      <c r="D42" s="36">
        <f>IFERROR('HISTORICAL FS'!D31/'HISTORICAL FS'!D64,0)</f>
        <v>2.9160924841752003E-2</v>
      </c>
      <c r="E42" s="36">
        <f>IFERROR('HISTORICAL FS'!E31/'HISTORICAL FS'!E64,0)</f>
        <v>3.2308483087690583E-2</v>
      </c>
      <c r="F42" s="36">
        <f>IFERROR('HISTORICAL FS'!F31/'HISTORICAL FS'!F64,0)</f>
        <v>3.1505668434189026E-2</v>
      </c>
      <c r="G42" s="36">
        <f>IFERROR('HISTORICAL FS'!G31/'HISTORICAL FS'!G64,0)</f>
        <v>2.6921406860616587E-2</v>
      </c>
      <c r="H42" s="36">
        <f>IFERROR('HISTORICAL FS'!H31/'HISTORICAL FS'!H64,0)</f>
        <v>2.3716256396465324E-2</v>
      </c>
      <c r="I42" s="36">
        <f>IFERROR('HISTORICAL FS'!I31/'HISTORICAL FS'!I64,0)</f>
        <v>3.219290788471009E-2</v>
      </c>
      <c r="J42" s="36">
        <f>IFERROR('HISTORICAL FS'!J31/'HISTORICAL FS'!J64,0)</f>
        <v>3.8650411424998851E-2</v>
      </c>
      <c r="K42" s="36">
        <f>IFERROR('HISTORICAL FS'!K31/'HISTORICAL FS'!K64,0)</f>
        <v>3.5805858301311416E-2</v>
      </c>
      <c r="L42" s="36">
        <f>IFERROR('HISTORICAL FS'!L31/'HISTORICAL FS'!L64,0)</f>
        <v>3.2293470885202076E-2</v>
      </c>
      <c r="N42" s="36">
        <f t="shared" si="0"/>
        <v>3.1201964252889458E-2</v>
      </c>
      <c r="O42" s="36">
        <f t="shared" si="1"/>
        <v>3.1849288159449554E-2</v>
      </c>
    </row>
    <row r="43" spans="2:15" x14ac:dyDescent="0.35">
      <c r="B43" t="s">
        <v>190</v>
      </c>
      <c r="C43" s="36">
        <f>IFERROR(('HISTORICAL FS'!C16-'HISTORICAL FS'!C22)/'HISTORICAL FS'!C64,0)</f>
        <v>5.0444326098461258E-2</v>
      </c>
      <c r="D43" s="36">
        <f>IFERROR(('HISTORICAL FS'!D16-'HISTORICAL FS'!D22)/'HISTORICAL FS'!D64,0)</f>
        <v>4.9039193437483197E-2</v>
      </c>
      <c r="E43" s="36">
        <f>IFERROR(('HISTORICAL FS'!E16-'HISTORICAL FS'!E22)/'HISTORICAL FS'!E64,0)</f>
        <v>5.868431465117168E-2</v>
      </c>
      <c r="F43" s="36">
        <f>IFERROR(('HISTORICAL FS'!F16-'HISTORICAL FS'!F22)/'HISTORICAL FS'!F64,0)</f>
        <v>6.3466415404508689E-2</v>
      </c>
      <c r="G43" s="36">
        <f>IFERROR(('HISTORICAL FS'!G16-'HISTORICAL FS'!G22)/'HISTORICAL FS'!G64,0)</f>
        <v>5.7663056796343988E-2</v>
      </c>
      <c r="H43" s="36">
        <f>IFERROR(('HISTORICAL FS'!H16-'HISTORICAL FS'!H22)/'HISTORICAL FS'!H64,0)</f>
        <v>4.1072219928564122E-2</v>
      </c>
      <c r="I43" s="36">
        <f>IFERROR(('HISTORICAL FS'!I16-'HISTORICAL FS'!I22)/'HISTORICAL FS'!I64,0)</f>
        <v>5.2580971052073169E-2</v>
      </c>
      <c r="J43" s="36">
        <f>IFERROR(('HISTORICAL FS'!J16-'HISTORICAL FS'!J22)/'HISTORICAL FS'!J64,0)</f>
        <v>6.352583813754685E-2</v>
      </c>
      <c r="K43" s="36">
        <f>IFERROR(('HISTORICAL FS'!K16-'HISTORICAL FS'!K22)/'HISTORICAL FS'!K64,0)</f>
        <v>6.3625610239719937E-2</v>
      </c>
      <c r="L43" s="36">
        <f>IFERROR(('HISTORICAL FS'!L16-'HISTORICAL FS'!L22)/'HISTORICAL FS'!L64,0)</f>
        <v>5.7681310018448867E-2</v>
      </c>
      <c r="N43" s="36">
        <f t="shared" si="0"/>
        <v>5.5778325576432176E-2</v>
      </c>
      <c r="O43" s="36">
        <f t="shared" si="1"/>
        <v>5.7672183407396424E-2</v>
      </c>
    </row>
    <row r="44" spans="2:15" x14ac:dyDescent="0.35">
      <c r="B44" s="11" t="s">
        <v>191</v>
      </c>
      <c r="C44" s="36">
        <f>(('HISTORICAL FS'!C16-'HISTORICAL FS'!C22)-('HISTORICAL FS'!C19-('HISTORICAL FS'!C19*'HISTORICAL FS'!C29)))/'HISTORICAL FS'!C64</f>
        <v>4.6344323722041302E-2</v>
      </c>
      <c r="D44" s="36">
        <f>(('HISTORICAL FS'!D16-'HISTORICAL FS'!D22)-('HISTORICAL FS'!D19-('HISTORICAL FS'!D19*'HISTORICAL FS'!D29)))/'HISTORICAL FS'!D64</f>
        <v>4.5396443868617062E-2</v>
      </c>
      <c r="E44" s="36">
        <f>(('HISTORICAL FS'!E16-'HISTORICAL FS'!E22)-('HISTORICAL FS'!E19-('HISTORICAL FS'!E19*'HISTORICAL FS'!E29)))/'HISTORICAL FS'!E64</f>
        <v>5.2107781905460816E-2</v>
      </c>
      <c r="F44" s="36">
        <f>(('HISTORICAL FS'!F16-'HISTORICAL FS'!F22)-('HISTORICAL FS'!F19-('HISTORICAL FS'!F19*'HISTORICAL FS'!F29)))/'HISTORICAL FS'!F64</f>
        <v>5.2366994187064635E-2</v>
      </c>
      <c r="G44" s="36">
        <f>(('HISTORICAL FS'!G16-'HISTORICAL FS'!G22)-('HISTORICAL FS'!G19-('HISTORICAL FS'!G19*'HISTORICAL FS'!G29)))/'HISTORICAL FS'!G64</f>
        <v>4.449586102143499E-2</v>
      </c>
      <c r="H44" s="36">
        <f>(('HISTORICAL FS'!H16-'HISTORICAL FS'!H22)-('HISTORICAL FS'!H19-('HISTORICAL FS'!H19*'HISTORICAL FS'!H29)))/'HISTORICAL FS'!H64</f>
        <v>2.5857597724298062E-2</v>
      </c>
      <c r="I44" s="36">
        <f>(('HISTORICAL FS'!I16-'HISTORICAL FS'!I22)-('HISTORICAL FS'!I19-('HISTORICAL FS'!I19*'HISTORICAL FS'!I29)))/'HISTORICAL FS'!I64</f>
        <v>4.5269573892677203E-2</v>
      </c>
      <c r="J44" s="36">
        <f>(('HISTORICAL FS'!J16-'HISTORICAL FS'!J22)-('HISTORICAL FS'!J19-('HISTORICAL FS'!J19*'HISTORICAL FS'!J29)))/'HISTORICAL FS'!J64</f>
        <v>5.4350795660245248E-2</v>
      </c>
      <c r="K44" s="36">
        <f>(('HISTORICAL FS'!K16-'HISTORICAL FS'!K22)-('HISTORICAL FS'!K19-('HISTORICAL FS'!K19*'HISTORICAL FS'!K29)))/'HISTORICAL FS'!K64</f>
        <v>5.4277461978779917E-2</v>
      </c>
      <c r="L44" s="36">
        <f>(('HISTORICAL FS'!L16-'HISTORICAL FS'!L22)-('HISTORICAL FS'!L19-('HISTORICAL FS'!L19*'HISTORICAL FS'!L29)))/'HISTORICAL FS'!L64</f>
        <v>4.8794774296645894E-2</v>
      </c>
      <c r="N44" s="36">
        <f t="shared" si="0"/>
        <v>4.6926160825726516E-2</v>
      </c>
      <c r="O44" s="36">
        <f t="shared" si="1"/>
        <v>4.7569549009343598E-2</v>
      </c>
    </row>
    <row r="45" spans="2:15" x14ac:dyDescent="0.35"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7"/>
      <c r="O45" s="87" t="s">
        <v>196</v>
      </c>
    </row>
    <row r="46" spans="2:15" x14ac:dyDescent="0.35">
      <c r="B46" s="8" t="s">
        <v>192</v>
      </c>
      <c r="N46" s="36"/>
      <c r="O46" s="36"/>
    </row>
    <row r="47" spans="2:15" x14ac:dyDescent="0.35">
      <c r="B47" t="s">
        <v>57</v>
      </c>
      <c r="C47" s="84">
        <f>IFERROR('HISTORICAL FS'!C36,0)</f>
        <v>12.765264939461009</v>
      </c>
      <c r="D47" s="84">
        <f>IFERROR('HISTORICAL FS'!D36,0)</f>
        <v>14.857773100157148</v>
      </c>
      <c r="E47" s="84">
        <f>IFERROR('HISTORICAL FS'!E36,0)</f>
        <v>19.395585286260811</v>
      </c>
      <c r="F47" s="84">
        <f>IFERROR('HISTORICAL FS'!F36,0)</f>
        <v>23.243311197550767</v>
      </c>
      <c r="G47" s="84">
        <f>IFERROR('HISTORICAL FS'!G36,0)</f>
        <v>23.151948061551206</v>
      </c>
      <c r="H47" s="84">
        <f>IFERROR('HISTORICAL FS'!H36,0)</f>
        <v>24.692205159753605</v>
      </c>
      <c r="I47" s="84">
        <f>IFERROR('HISTORICAL FS'!I36,0)</f>
        <v>35.658324587207495</v>
      </c>
      <c r="J47" s="84">
        <f>IFERROR('HISTORICAL FS'!J36,0)</f>
        <v>45.870284971029918</v>
      </c>
      <c r="K47" s="84">
        <f>IFERROR('HISTORICAL FS'!K36,0)</f>
        <v>46.440870863325301</v>
      </c>
      <c r="L47" s="84">
        <f>IFERROR('HISTORICAL FS'!L36,0)</f>
        <v>46.527593035972927</v>
      </c>
      <c r="N47" s="36">
        <f t="shared" si="0"/>
        <v>29.260316120227021</v>
      </c>
      <c r="O47" s="36">
        <f t="shared" si="1"/>
        <v>23.967758178652186</v>
      </c>
    </row>
    <row r="48" spans="2:15" x14ac:dyDescent="0.35">
      <c r="B48" t="s">
        <v>193</v>
      </c>
      <c r="C48" s="84">
        <f>IFERROR(('HISTORICAL FS'!C31+'HISTORICAL FS'!C22)/'HISTORICAL FS'!C34,0)</f>
        <v>21.130061189949227</v>
      </c>
      <c r="D48" s="84">
        <f>IFERROR(('HISTORICAL FS'!D31+'HISTORICAL FS'!D22)/'HISTORICAL FS'!D34,0)</f>
        <v>23.252980781707301</v>
      </c>
      <c r="E48" s="84">
        <f>IFERROR(('HISTORICAL FS'!E31+'HISTORICAL FS'!E22)/'HISTORICAL FS'!E34,0)</f>
        <v>31.757671730588502</v>
      </c>
      <c r="F48" s="84">
        <f>IFERROR(('HISTORICAL FS'!F31+'HISTORICAL FS'!F22)/'HISTORICAL FS'!F34,0)</f>
        <v>38.724061940751042</v>
      </c>
      <c r="G48" s="84">
        <f>IFERROR(('HISTORICAL FS'!G31+'HISTORICAL FS'!G22)/'HISTORICAL FS'!G34,0)</f>
        <v>39.569792290571371</v>
      </c>
      <c r="H48" s="84">
        <f>IFERROR(('HISTORICAL FS'!H31+'HISTORICAL FS'!H22)/'HISTORICAL FS'!H34,0)</f>
        <v>45.64985921491612</v>
      </c>
      <c r="I48" s="84">
        <f>IFERROR(('HISTORICAL FS'!I31+'HISTORICAL FS'!I22)/'HISTORICAL FS'!I34,0)</f>
        <v>57.670475542875728</v>
      </c>
      <c r="J48" s="84">
        <f>IFERROR(('HISTORICAL FS'!J31+'HISTORICAL FS'!J22)/'HISTORICAL FS'!J34,0)</f>
        <v>75.655522052737382</v>
      </c>
      <c r="K48" s="84">
        <f>IFERROR(('HISTORICAL FS'!K31+'HISTORICAL FS'!K22)/'HISTORICAL FS'!K34,0)</f>
        <v>84.006828561715707</v>
      </c>
      <c r="L48" s="84">
        <f>IFERROR(('HISTORICAL FS'!L31+'HISTORICAL FS'!L22)/'HISTORICAL FS'!L34,0)</f>
        <v>85.793355206763025</v>
      </c>
      <c r="N48" s="36">
        <f t="shared" si="0"/>
        <v>50.321060851257535</v>
      </c>
      <c r="O48" s="36">
        <f t="shared" si="1"/>
        <v>42.609825752743745</v>
      </c>
    </row>
    <row r="49" spans="2:15" x14ac:dyDescent="0.35">
      <c r="B49" t="s">
        <v>194</v>
      </c>
      <c r="C49" s="84">
        <f>'HISTORICAL FS'!C39</f>
        <v>2.2388577876144602</v>
      </c>
      <c r="D49" s="84">
        <f>'HISTORICAL FS'!D39</f>
        <v>2.346347371000995</v>
      </c>
      <c r="E49" s="84">
        <f>'HISTORICAL FS'!E39</f>
        <v>2.6292928022258559</v>
      </c>
      <c r="F49" s="84">
        <f>'HISTORICAL FS'!F39</f>
        <v>2.8484906748702175</v>
      </c>
      <c r="G49" s="84">
        <f>'HISTORICAL FS'!G39</f>
        <v>3.0467623505401633</v>
      </c>
      <c r="H49" s="84">
        <f>'HISTORICAL FS'!H39</f>
        <v>3.5582739827587564</v>
      </c>
      <c r="I49" s="84">
        <f>'HISTORICAL FS'!I39</f>
        <v>4.0000591287380445</v>
      </c>
      <c r="J49" s="84">
        <f>'HISTORICAL FS'!J39</f>
        <v>4.5002660517914155</v>
      </c>
      <c r="K49" s="84">
        <f>'HISTORICAL FS'!K39</f>
        <v>5.0002217065492109</v>
      </c>
      <c r="L49" s="84">
        <f>'HISTORICAL FS'!L39</f>
        <v>5.4998374272117294</v>
      </c>
      <c r="N49" s="36">
        <f t="shared" si="0"/>
        <v>3.5668409283300853</v>
      </c>
      <c r="O49" s="36">
        <f t="shared" si="1"/>
        <v>3.3025181666494596</v>
      </c>
    </row>
    <row r="50" spans="2:15" x14ac:dyDescent="0.35">
      <c r="B50" t="s">
        <v>118</v>
      </c>
      <c r="C50" s="36">
        <f>'HISTORICAL FS'!C41</f>
        <v>0.17538670746217916</v>
      </c>
      <c r="D50" s="36">
        <f>'HISTORICAL FS'!D41</f>
        <v>0.15792052787346564</v>
      </c>
      <c r="E50" s="36">
        <f>'HISTORICAL FS'!E41</f>
        <v>0.13556140551676776</v>
      </c>
      <c r="F50" s="36">
        <f>'HISTORICAL FS'!F41</f>
        <v>0.12255098469663708</v>
      </c>
      <c r="G50" s="36">
        <f>'HISTORICAL FS'!G41</f>
        <v>0.13159853082082401</v>
      </c>
      <c r="H50" s="36">
        <f>'HISTORICAL FS'!H41</f>
        <v>0.14410515220238285</v>
      </c>
      <c r="I50" s="36">
        <f>'HISTORICAL FS'!I41</f>
        <v>0.11217742771271634</v>
      </c>
      <c r="J50" s="36">
        <f>'HISTORICAL FS'!J41</f>
        <v>9.8108526132628729E-2</v>
      </c>
      <c r="K50" s="36">
        <f>'HISTORICAL FS'!K41</f>
        <v>0.10766856033481326</v>
      </c>
      <c r="L50" s="36">
        <f>'HISTORICAL FS'!L41</f>
        <v>0.11820593046709973</v>
      </c>
      <c r="N50" s="36">
        <f t="shared" si="0"/>
        <v>0.13032837532195146</v>
      </c>
      <c r="O50" s="36">
        <f t="shared" si="1"/>
        <v>0.12707475775873056</v>
      </c>
    </row>
    <row r="51" spans="2:15" x14ac:dyDescent="0.35">
      <c r="B51" s="11" t="s">
        <v>195</v>
      </c>
      <c r="C51" s="35">
        <f>IFERROR(C49/'Data Sheet'!B8,0)</f>
        <v>1.5410640057918917E-3</v>
      </c>
      <c r="D51" s="35">
        <f>IFERROR(D49/'Data Sheet'!C8,0)</f>
        <v>0</v>
      </c>
      <c r="E51" s="35">
        <f>IFERROR(E49/'Data Sheet'!D8,0)</f>
        <v>0</v>
      </c>
      <c r="F51" s="35">
        <f>IFERROR(F49/'Data Sheet'!E8,0)</f>
        <v>0</v>
      </c>
      <c r="G51" s="35">
        <f>IFERROR(G49/'Data Sheet'!F8,0)</f>
        <v>0</v>
      </c>
      <c r="H51" s="35">
        <f>IFERROR(H49/'Data Sheet'!G8,0)</f>
        <v>0</v>
      </c>
      <c r="I51" s="35">
        <f>IFERROR(I49/'Data Sheet'!H8,0)</f>
        <v>0</v>
      </c>
      <c r="J51" s="35">
        <f>IFERROR(J49/'Data Sheet'!I8,0)</f>
        <v>0</v>
      </c>
      <c r="K51" s="35">
        <f>IFERROR(K49/'Data Sheet'!J8,0)</f>
        <v>0</v>
      </c>
      <c r="L51" s="35">
        <f>IFERROR(L49/'Data Sheet'!K8,0)</f>
        <v>0</v>
      </c>
      <c r="N51" s="36">
        <f t="shared" si="0"/>
        <v>1.5410640057918917E-4</v>
      </c>
      <c r="O51" s="36">
        <f t="shared" si="1"/>
        <v>0</v>
      </c>
    </row>
    <row r="52" spans="2:15" x14ac:dyDescent="0.35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Analysis'!D4:L4</xm:f>
              <xm:sqref>M4</xm:sqref>
            </x14:sparkline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</x14:sparklines>
        </x14:sparklineGroup>
        <x14:sparklineGroup manualMax="0" manualMin="0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Analysis'!C10:L10</xm:f>
              <xm:sqref>M10</xm:sqref>
            </x14:sparkline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</x14:sparklines>
        </x14:sparklineGroup>
        <x14:sparklineGroup manualMax="0" manualMin="0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</x14:sparklines>
        </x14:sparklineGroup>
        <x14:sparklineGroup manualMax="0" manualMin="0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  <x14:sparkline>
              <xm:f>'Ratio Analysis'!C42:L42</xm:f>
              <xm:sqref>M42</xm:sqref>
            </x14:sparkline>
            <x14:sparkline>
              <xm:f>'Ratio Analysis'!C43:L43</xm:f>
              <xm:sqref>M43</xm:sqref>
            </x14:sparkline>
            <x14:sparkline>
              <xm:f>'Ratio Analysis'!C44:L44</xm:f>
              <xm:sqref>M44</xm:sqref>
            </x14:sparkline>
            <x14:sparkline>
              <xm:f>'Ratio Analysis'!C45:L45</xm:f>
              <xm:sqref>M45</xm:sqref>
            </x14:sparkline>
            <x14:sparkline>
              <xm:f>'Ratio Analysis'!C46:L46</xm:f>
              <xm:sqref>M46</xm:sqref>
            </x14:sparkline>
            <x14:sparkline>
              <xm:f>'Ratio Analysis'!C47:L47</xm:f>
              <xm:sqref>M47</xm:sqref>
            </x14:sparkline>
            <x14:sparkline>
              <xm:f>'Ratio Analysis'!C48:L48</xm:f>
              <xm:sqref>M48</xm:sqref>
            </x14:sparkline>
            <x14:sparkline>
              <xm:f>'Ratio Analysis'!C49:L49</xm:f>
              <xm:sqref>M49</xm:sqref>
            </x14:sparkline>
            <x14:sparkline>
              <xm:f>'Ratio Analysis'!C50:L50</xm:f>
              <xm:sqref>M50</xm:sqref>
            </x14:sparkline>
            <x14:sparkline>
              <xm:f>'Ratio Analysis'!C51:L51</xm:f>
              <xm:sqref>M51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O19"/>
  <sheetViews>
    <sheetView showGridLines="0" workbookViewId="0">
      <selection activeCell="E25" sqref="E25"/>
    </sheetView>
  </sheetViews>
  <sheetFormatPr defaultRowHeight="14.5" x14ac:dyDescent="0.35"/>
  <cols>
    <col min="1" max="1" width="5" customWidth="1"/>
    <col min="2" max="2" width="12.26953125" customWidth="1"/>
    <col min="3" max="3" width="11.453125" customWidth="1"/>
    <col min="4" max="4" width="10.26953125" bestFit="1" customWidth="1"/>
    <col min="5" max="5" width="12.54296875" customWidth="1"/>
    <col min="8" max="8" width="13.1796875" customWidth="1"/>
    <col min="9" max="9" width="10.26953125" bestFit="1" customWidth="1"/>
    <col min="10" max="10" width="11.7265625" bestFit="1" customWidth="1"/>
    <col min="12" max="12" width="9.453125" customWidth="1"/>
    <col min="14" max="14" width="10.26953125" bestFit="1" customWidth="1"/>
    <col min="15" max="15" width="11.7265625" bestFit="1" customWidth="1"/>
  </cols>
  <sheetData>
    <row r="2" spans="2:15" x14ac:dyDescent="0.35">
      <c r="B2" s="207" t="str">
        <f>'Data Sheet'!B1&amp;"-"&amp;'Data Sheet'!A17</f>
        <v>RELIANCE INDUSTRIES LTD-Sales</v>
      </c>
      <c r="C2" s="207"/>
      <c r="D2" s="207"/>
      <c r="G2" s="208" t="str">
        <f>'Data Sheet'!$B$1&amp;"-"&amp;'HISTORICAL FS'!B16&amp;"Forecasting"</f>
        <v>RELIANCE INDUSTRIES LTD-EBIDAForecasting</v>
      </c>
      <c r="H2" s="208"/>
      <c r="I2" s="208"/>
      <c r="J2" s="208"/>
      <c r="L2" s="208" t="str">
        <f>'Data Sheet'!$B$1&amp;"-"&amp;'HISTORICAL FS'!B36&amp;"-"&amp;"Forecasting"</f>
        <v>RELIANCE INDUSTRIES LTD-EPS-Forecasting</v>
      </c>
      <c r="M2" s="208"/>
      <c r="N2" s="208"/>
      <c r="O2" s="208"/>
    </row>
    <row r="3" spans="2:15" x14ac:dyDescent="0.35">
      <c r="B3" s="89" t="s">
        <v>197</v>
      </c>
      <c r="C3" s="91" t="s">
        <v>198</v>
      </c>
      <c r="D3" s="91" t="s">
        <v>200</v>
      </c>
      <c r="E3" s="89" t="s">
        <v>199</v>
      </c>
      <c r="G3" s="89" t="s">
        <v>197</v>
      </c>
      <c r="H3" s="91" t="s">
        <v>198</v>
      </c>
      <c r="I3" s="91" t="s">
        <v>200</v>
      </c>
      <c r="J3" s="89" t="s">
        <v>199</v>
      </c>
      <c r="L3" s="89" t="s">
        <v>197</v>
      </c>
      <c r="M3" s="91" t="s">
        <v>198</v>
      </c>
      <c r="N3" s="91" t="s">
        <v>200</v>
      </c>
      <c r="O3" s="89" t="s">
        <v>199</v>
      </c>
    </row>
    <row r="4" spans="2:15" x14ac:dyDescent="0.35">
      <c r="B4" s="90">
        <v>1</v>
      </c>
      <c r="C4" s="92">
        <v>2016</v>
      </c>
      <c r="D4" s="93">
        <f t="array" ref="D4:D13">TRANSPOSE('Data Sheet'!B17:K17)</f>
        <v>272583</v>
      </c>
      <c r="E4" t="s">
        <v>98</v>
      </c>
      <c r="G4" s="90">
        <v>1</v>
      </c>
      <c r="H4" s="92">
        <v>2016</v>
      </c>
      <c r="I4" s="93">
        <f t="array" ref="I4:I13">TRANSPOSE('HISTORICAL FS'!C16:L16)</f>
        <v>41781</v>
      </c>
      <c r="J4" t="s">
        <v>98</v>
      </c>
      <c r="L4" s="90">
        <v>1</v>
      </c>
      <c r="M4" s="92">
        <v>2016</v>
      </c>
      <c r="N4" s="93">
        <f t="array" ref="N4:N13">TRANSPOSE('HISTORICAL FS'!C36:L36)</f>
        <v>12.765264939461009</v>
      </c>
      <c r="O4" t="s">
        <v>98</v>
      </c>
    </row>
    <row r="5" spans="2:15" x14ac:dyDescent="0.35">
      <c r="B5" s="90">
        <v>2</v>
      </c>
      <c r="C5" s="92">
        <v>2017</v>
      </c>
      <c r="D5" s="93">
        <v>303954</v>
      </c>
      <c r="E5" s="36">
        <f>D5/D4-1</f>
        <v>0.11508788148930793</v>
      </c>
      <c r="G5" s="90">
        <v>2</v>
      </c>
      <c r="H5" s="92">
        <v>2017</v>
      </c>
      <c r="I5" s="93">
        <v>46307</v>
      </c>
      <c r="J5" s="36">
        <f>I5/I4-1</f>
        <v>0.10832675139417436</v>
      </c>
      <c r="L5" s="90">
        <v>2</v>
      </c>
      <c r="M5" s="92">
        <v>2017</v>
      </c>
      <c r="N5" s="93">
        <v>14.857773100157148</v>
      </c>
      <c r="O5" s="36">
        <f>N5/N4-1</f>
        <v>0.16392203143607387</v>
      </c>
    </row>
    <row r="6" spans="2:15" x14ac:dyDescent="0.35">
      <c r="B6" s="90">
        <v>3</v>
      </c>
      <c r="C6" s="92">
        <v>2018</v>
      </c>
      <c r="D6" s="93">
        <v>390823</v>
      </c>
      <c r="E6" s="36">
        <f t="shared" ref="E6:E19" si="0">D6/D5-1</f>
        <v>0.28579653500200686</v>
      </c>
      <c r="G6" s="90">
        <v>3</v>
      </c>
      <c r="H6" s="92">
        <v>2018</v>
      </c>
      <c r="I6" s="93">
        <v>64315</v>
      </c>
      <c r="J6" s="36">
        <f t="shared" ref="J6:J19" si="1">I6/I5-1</f>
        <v>0.38888289027576817</v>
      </c>
      <c r="L6" s="90">
        <v>3</v>
      </c>
      <c r="M6" s="92">
        <v>2018</v>
      </c>
      <c r="N6" s="93">
        <v>19.395585286260811</v>
      </c>
      <c r="O6" s="36">
        <f t="shared" ref="O6:O19" si="2">N6/N5-1</f>
        <v>0.30541671053353658</v>
      </c>
    </row>
    <row r="7" spans="2:15" x14ac:dyDescent="0.35">
      <c r="B7" s="90">
        <v>4</v>
      </c>
      <c r="C7" s="92">
        <v>2019</v>
      </c>
      <c r="D7" s="93">
        <v>568337</v>
      </c>
      <c r="E7" s="36">
        <f t="shared" si="0"/>
        <v>0.45420561225925793</v>
      </c>
      <c r="G7" s="90">
        <v>4</v>
      </c>
      <c r="H7" s="92">
        <v>2019</v>
      </c>
      <c r="I7" s="93">
        <v>84250</v>
      </c>
      <c r="J7" s="36">
        <f t="shared" si="1"/>
        <v>0.3099587965482391</v>
      </c>
      <c r="L7" s="90">
        <v>4</v>
      </c>
      <c r="M7" s="92">
        <v>2019</v>
      </c>
      <c r="N7" s="93">
        <v>23.243311197550767</v>
      </c>
      <c r="O7" s="36">
        <f t="shared" si="2"/>
        <v>0.19838153138980319</v>
      </c>
    </row>
    <row r="8" spans="2:15" x14ac:dyDescent="0.35">
      <c r="B8" s="90">
        <v>5</v>
      </c>
      <c r="C8" s="92">
        <v>2020</v>
      </c>
      <c r="D8" s="93">
        <v>596679</v>
      </c>
      <c r="E8" s="36">
        <f t="shared" si="0"/>
        <v>4.9868299969912266E-2</v>
      </c>
      <c r="G8" s="90">
        <v>5</v>
      </c>
      <c r="H8" s="92">
        <v>2020</v>
      </c>
      <c r="I8" s="93">
        <v>89266</v>
      </c>
      <c r="J8" s="36">
        <f t="shared" si="1"/>
        <v>5.9537091988130619E-2</v>
      </c>
      <c r="L8" s="90">
        <v>5</v>
      </c>
      <c r="M8" s="92">
        <v>2020</v>
      </c>
      <c r="N8" s="93">
        <v>23.151948061551206</v>
      </c>
      <c r="O8" s="36">
        <f t="shared" si="2"/>
        <v>-3.930728080136392E-3</v>
      </c>
    </row>
    <row r="9" spans="2:15" x14ac:dyDescent="0.35">
      <c r="B9" s="90">
        <v>6</v>
      </c>
      <c r="C9" s="92">
        <v>2021</v>
      </c>
      <c r="D9" s="93">
        <v>466307</v>
      </c>
      <c r="E9" s="36">
        <f t="shared" si="0"/>
        <v>-0.21849604226057895</v>
      </c>
      <c r="G9" s="90">
        <v>6</v>
      </c>
      <c r="H9" s="92">
        <v>2021</v>
      </c>
      <c r="I9" s="93">
        <v>80790</v>
      </c>
      <c r="J9" s="36">
        <f t="shared" si="1"/>
        <v>-9.4952165438128788E-2</v>
      </c>
      <c r="L9" s="90">
        <v>6</v>
      </c>
      <c r="M9" s="92">
        <v>2021</v>
      </c>
      <c r="N9" s="93">
        <v>24.692205159753605</v>
      </c>
      <c r="O9" s="36">
        <f t="shared" si="2"/>
        <v>6.6528185624272762E-2</v>
      </c>
    </row>
    <row r="10" spans="2:15" x14ac:dyDescent="0.35">
      <c r="B10" s="90">
        <v>7</v>
      </c>
      <c r="C10" s="92">
        <v>2022</v>
      </c>
      <c r="D10" s="93">
        <v>694673</v>
      </c>
      <c r="E10" s="36">
        <f t="shared" si="0"/>
        <v>0.48973315862725619</v>
      </c>
      <c r="G10" s="90">
        <v>7</v>
      </c>
      <c r="H10" s="92">
        <v>2022</v>
      </c>
      <c r="I10" s="93">
        <v>108581</v>
      </c>
      <c r="J10" s="36">
        <f t="shared" si="1"/>
        <v>0.34399059289516032</v>
      </c>
      <c r="L10" s="90">
        <v>7</v>
      </c>
      <c r="M10" s="92">
        <v>2022</v>
      </c>
      <c r="N10" s="93">
        <v>35.658324587207495</v>
      </c>
      <c r="O10" s="36">
        <f t="shared" si="2"/>
        <v>0.44411259976601114</v>
      </c>
    </row>
    <row r="11" spans="2:15" x14ac:dyDescent="0.35">
      <c r="B11" s="90">
        <v>8</v>
      </c>
      <c r="C11" s="92">
        <v>2023</v>
      </c>
      <c r="D11" s="93">
        <v>876396</v>
      </c>
      <c r="E11" s="36">
        <f t="shared" si="0"/>
        <v>0.26159502384575184</v>
      </c>
      <c r="G11" s="90">
        <v>8</v>
      </c>
      <c r="H11" s="92">
        <v>2023</v>
      </c>
      <c r="I11" s="93">
        <v>142318</v>
      </c>
      <c r="J11" s="36">
        <f t="shared" si="1"/>
        <v>0.31070813494073546</v>
      </c>
      <c r="L11" s="90">
        <v>8</v>
      </c>
      <c r="M11" s="92">
        <v>2023</v>
      </c>
      <c r="N11" s="93">
        <v>45.870284971029918</v>
      </c>
      <c r="O11" s="36">
        <f t="shared" si="2"/>
        <v>0.28638362856470234</v>
      </c>
    </row>
    <row r="12" spans="2:15" x14ac:dyDescent="0.35">
      <c r="B12" s="90">
        <v>9</v>
      </c>
      <c r="C12" s="92">
        <v>2024</v>
      </c>
      <c r="D12" s="93">
        <v>899041</v>
      </c>
      <c r="E12" s="36">
        <f t="shared" si="0"/>
        <v>2.5838776078393799E-2</v>
      </c>
      <c r="G12" s="90">
        <v>9</v>
      </c>
      <c r="H12" s="92">
        <v>2024</v>
      </c>
      <c r="I12" s="93">
        <v>162498</v>
      </c>
      <c r="J12" s="36">
        <f t="shared" si="1"/>
        <v>0.14179513483888195</v>
      </c>
      <c r="L12" s="90">
        <v>9</v>
      </c>
      <c r="M12" s="92">
        <v>2024</v>
      </c>
      <c r="N12" s="93">
        <v>46.440870863325301</v>
      </c>
      <c r="O12" s="36">
        <f t="shared" si="2"/>
        <v>1.243911810567E-2</v>
      </c>
    </row>
    <row r="13" spans="2:15" x14ac:dyDescent="0.35">
      <c r="B13" s="90">
        <v>10</v>
      </c>
      <c r="C13" s="92">
        <v>2025</v>
      </c>
      <c r="D13" s="93">
        <v>962820</v>
      </c>
      <c r="E13" s="36">
        <f t="shared" si="0"/>
        <v>7.0941147289167006E-2</v>
      </c>
      <c r="G13" s="90">
        <v>10</v>
      </c>
      <c r="H13" s="92">
        <v>2025</v>
      </c>
      <c r="I13" s="93">
        <v>165598</v>
      </c>
      <c r="J13" s="36">
        <f t="shared" si="1"/>
        <v>1.9077157872712247E-2</v>
      </c>
      <c r="L13" s="90">
        <v>10</v>
      </c>
      <c r="M13" s="92">
        <v>2025</v>
      </c>
      <c r="N13" s="93">
        <v>46.527593035972927</v>
      </c>
      <c r="O13" s="36">
        <f t="shared" si="2"/>
        <v>1.8673674940947738E-3</v>
      </c>
    </row>
    <row r="14" spans="2:15" x14ac:dyDescent="0.35">
      <c r="B14" s="94">
        <v>11</v>
      </c>
      <c r="C14" s="95">
        <v>2026</v>
      </c>
      <c r="D14" s="96">
        <f>FORECAST(B14,$D$4:$D$13,$B$4:$B$13)</f>
        <v>1038302.7333333334</v>
      </c>
      <c r="E14" s="97">
        <f t="shared" si="0"/>
        <v>7.8397554406154146E-2</v>
      </c>
      <c r="G14" s="94">
        <v>11</v>
      </c>
      <c r="H14" s="95">
        <v>2026</v>
      </c>
      <c r="I14" s="96">
        <f>FORECAST(G14,$I$4:$I$13,$G$4:$G$13)</f>
        <v>177977.8</v>
      </c>
      <c r="J14" s="97">
        <f t="shared" si="1"/>
        <v>7.4758149253010275E-2</v>
      </c>
      <c r="L14" s="98">
        <v>11</v>
      </c>
      <c r="M14" s="99">
        <v>2026</v>
      </c>
      <c r="N14" s="100">
        <f>FORECAST(L14,$N$4:$N$13,$L$4:$L$13)</f>
        <v>52.463697216953761</v>
      </c>
      <c r="O14" s="101">
        <f t="shared" si="2"/>
        <v>0.1275824471812097</v>
      </c>
    </row>
    <row r="15" spans="2:15" x14ac:dyDescent="0.35">
      <c r="B15" s="94">
        <v>12</v>
      </c>
      <c r="C15" s="95">
        <v>2027</v>
      </c>
      <c r="D15" s="96">
        <f t="shared" ref="D15:D19" si="3">FORECAST(B15,$D$4:$D$13,$B$4:$B$13)</f>
        <v>1117419.3575757577</v>
      </c>
      <c r="E15" s="97">
        <f t="shared" si="0"/>
        <v>7.619803136646941E-2</v>
      </c>
      <c r="G15" s="94">
        <v>12</v>
      </c>
      <c r="H15" s="95">
        <v>2027</v>
      </c>
      <c r="I15" s="96">
        <f t="shared" ref="I15:I19" si="4">FORECAST(G15,$I$4:$I$13,$G$4:$G$13)</f>
        <v>192415.50909090909</v>
      </c>
      <c r="J15" s="97">
        <f t="shared" si="1"/>
        <v>8.1120842548391359E-2</v>
      </c>
      <c r="L15" s="98">
        <v>12</v>
      </c>
      <c r="M15" s="99">
        <v>2027</v>
      </c>
      <c r="N15" s="100">
        <f t="shared" ref="N15:N19" si="5">FORECAST(L15,$N$4:$N$13,$L$4:$L$13)</f>
        <v>56.682493779994985</v>
      </c>
      <c r="O15" s="101">
        <f t="shared" si="2"/>
        <v>8.0413634319273841E-2</v>
      </c>
    </row>
    <row r="16" spans="2:15" x14ac:dyDescent="0.35">
      <c r="B16" s="94">
        <v>13</v>
      </c>
      <c r="C16" s="95">
        <v>2028</v>
      </c>
      <c r="D16" s="96">
        <f t="shared" si="3"/>
        <v>1196535.9818181819</v>
      </c>
      <c r="E16" s="97">
        <f t="shared" si="0"/>
        <v>7.0802983415347187E-2</v>
      </c>
      <c r="G16" s="94">
        <v>13</v>
      </c>
      <c r="H16" s="95">
        <v>2028</v>
      </c>
      <c r="I16" s="96">
        <f t="shared" si="4"/>
        <v>206853.2181818182</v>
      </c>
      <c r="J16" s="97">
        <f t="shared" si="1"/>
        <v>7.5034019654246498E-2</v>
      </c>
      <c r="L16" s="98">
        <v>13</v>
      </c>
      <c r="M16" s="99">
        <v>2028</v>
      </c>
      <c r="N16" s="100">
        <f t="shared" si="5"/>
        <v>60.901290343036223</v>
      </c>
      <c r="O16" s="101">
        <f t="shared" si="2"/>
        <v>7.442856306597756E-2</v>
      </c>
    </row>
    <row r="17" spans="2:15" x14ac:dyDescent="0.35">
      <c r="B17" s="94">
        <v>14</v>
      </c>
      <c r="C17" s="95">
        <v>2029</v>
      </c>
      <c r="D17" s="96">
        <f t="shared" si="3"/>
        <v>1275652.606060606</v>
      </c>
      <c r="E17" s="97">
        <f t="shared" si="0"/>
        <v>6.6121391621005277E-2</v>
      </c>
      <c r="G17" s="94">
        <v>14</v>
      </c>
      <c r="H17" s="95">
        <v>2029</v>
      </c>
      <c r="I17" s="96">
        <f t="shared" si="4"/>
        <v>221290.92727272728</v>
      </c>
      <c r="J17" s="97">
        <f t="shared" si="1"/>
        <v>6.9796879245159982E-2</v>
      </c>
      <c r="L17" s="98">
        <v>14</v>
      </c>
      <c r="M17" s="99">
        <v>2029</v>
      </c>
      <c r="N17" s="100">
        <f t="shared" si="5"/>
        <v>65.120086906077447</v>
      </c>
      <c r="O17" s="101">
        <f t="shared" si="2"/>
        <v>6.9272695853867416E-2</v>
      </c>
    </row>
    <row r="18" spans="2:15" x14ac:dyDescent="0.35">
      <c r="B18" s="94">
        <v>15</v>
      </c>
      <c r="C18" s="95">
        <v>2030</v>
      </c>
      <c r="D18" s="96">
        <f t="shared" si="3"/>
        <v>1354769.2303030302</v>
      </c>
      <c r="E18" s="97">
        <f t="shared" si="0"/>
        <v>6.2020509240950483E-2</v>
      </c>
      <c r="G18" s="94">
        <v>15</v>
      </c>
      <c r="H18" s="95">
        <v>2030</v>
      </c>
      <c r="I18" s="96">
        <f t="shared" si="4"/>
        <v>235728.63636363635</v>
      </c>
      <c r="J18" s="97">
        <f t="shared" si="1"/>
        <v>6.5243113528624219E-2</v>
      </c>
      <c r="L18" s="98">
        <v>15</v>
      </c>
      <c r="M18" s="99">
        <v>2030</v>
      </c>
      <c r="N18" s="100">
        <f t="shared" si="5"/>
        <v>69.33888346911867</v>
      </c>
      <c r="O18" s="101">
        <f t="shared" si="2"/>
        <v>6.4784873047328384E-2</v>
      </c>
    </row>
    <row r="19" spans="2:15" x14ac:dyDescent="0.35">
      <c r="B19" s="94">
        <v>16</v>
      </c>
      <c r="C19" s="95">
        <v>2031</v>
      </c>
      <c r="D19" s="96">
        <f t="shared" si="3"/>
        <v>1433885.8545454545</v>
      </c>
      <c r="E19" s="97">
        <f t="shared" si="0"/>
        <v>5.8398598427517934E-2</v>
      </c>
      <c r="G19" s="94">
        <v>16</v>
      </c>
      <c r="H19" s="95">
        <v>2031</v>
      </c>
      <c r="I19" s="96">
        <f t="shared" si="4"/>
        <v>250166.34545454546</v>
      </c>
      <c r="J19" s="97">
        <f t="shared" si="1"/>
        <v>6.1247158230862686E-2</v>
      </c>
      <c r="L19" s="98">
        <v>16</v>
      </c>
      <c r="M19" s="99">
        <v>2031</v>
      </c>
      <c r="N19" s="100">
        <f t="shared" si="5"/>
        <v>73.557680032159894</v>
      </c>
      <c r="O19" s="101">
        <f t="shared" si="2"/>
        <v>6.0843156854698099E-2</v>
      </c>
    </row>
  </sheetData>
  <mergeCells count="3">
    <mergeCell ref="B2:D2"/>
    <mergeCell ref="G2:J2"/>
    <mergeCell ref="L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O28"/>
  <sheetViews>
    <sheetView workbookViewId="0">
      <selection activeCell="F21" sqref="F21"/>
    </sheetView>
  </sheetViews>
  <sheetFormatPr defaultRowHeight="14.5" x14ac:dyDescent="0.35"/>
  <cols>
    <col min="1" max="1" width="3" customWidth="1"/>
    <col min="2" max="2" width="31.90625" bestFit="1" customWidth="1"/>
    <col min="3" max="7" width="9.08984375" bestFit="1" customWidth="1"/>
    <col min="8" max="9" width="10.1796875" bestFit="1" customWidth="1"/>
    <col min="10" max="11" width="10.08984375" bestFit="1" customWidth="1"/>
    <col min="12" max="12" width="9.36328125" bestFit="1" customWidth="1"/>
    <col min="13" max="14" width="10.08984375" bestFit="1" customWidth="1"/>
  </cols>
  <sheetData>
    <row r="1" spans="2:15" x14ac:dyDescent="0.35">
      <c r="C1" s="45"/>
      <c r="D1" s="45"/>
      <c r="E1" s="45"/>
      <c r="F1" s="45"/>
      <c r="G1" s="45"/>
      <c r="H1" s="45"/>
      <c r="I1" s="45"/>
      <c r="J1" s="46"/>
      <c r="K1" s="46"/>
      <c r="L1" s="46"/>
      <c r="M1" s="46"/>
      <c r="N1" s="46"/>
    </row>
    <row r="2" spans="2:15" x14ac:dyDescent="0.35"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2:15" x14ac:dyDescent="0.35">
      <c r="B3" s="11"/>
      <c r="C3" s="53">
        <v>41699</v>
      </c>
      <c r="D3" s="53">
        <v>42064</v>
      </c>
      <c r="E3" s="53">
        <v>42430</v>
      </c>
      <c r="F3" s="53">
        <v>42795</v>
      </c>
      <c r="G3" s="53">
        <v>43160</v>
      </c>
      <c r="H3" s="53">
        <v>43525</v>
      </c>
      <c r="I3" s="53">
        <v>43891</v>
      </c>
      <c r="J3" s="53">
        <v>44256</v>
      </c>
      <c r="K3" s="53">
        <v>44621</v>
      </c>
      <c r="L3" s="53">
        <v>44986</v>
      </c>
      <c r="M3" s="53">
        <v>45352</v>
      </c>
      <c r="N3" s="53">
        <v>45717</v>
      </c>
      <c r="O3" s="50"/>
    </row>
    <row r="4" spans="2:15" x14ac:dyDescent="0.35">
      <c r="B4" s="54" t="s">
        <v>150</v>
      </c>
      <c r="C4" s="55">
        <v>43261</v>
      </c>
      <c r="D4" s="55">
        <v>34374</v>
      </c>
      <c r="E4" s="55">
        <v>38134</v>
      </c>
      <c r="F4" s="55">
        <v>49550</v>
      </c>
      <c r="G4" s="55">
        <v>71459</v>
      </c>
      <c r="H4" s="55">
        <v>42346</v>
      </c>
      <c r="I4" s="55">
        <v>94877</v>
      </c>
      <c r="J4" s="55">
        <v>26958</v>
      </c>
      <c r="K4" s="55">
        <v>110654</v>
      </c>
      <c r="L4" s="55">
        <v>115032</v>
      </c>
      <c r="M4" s="55">
        <v>158788</v>
      </c>
      <c r="N4" s="55">
        <v>178703</v>
      </c>
    </row>
    <row r="5" spans="2:15" x14ac:dyDescent="0.35">
      <c r="B5" s="56" t="s">
        <v>129</v>
      </c>
      <c r="C5" s="55">
        <v>38444</v>
      </c>
      <c r="D5" s="55">
        <v>38994</v>
      </c>
      <c r="E5" s="55">
        <v>38887</v>
      </c>
      <c r="F5" s="55">
        <v>44170</v>
      </c>
      <c r="G5" s="55">
        <v>62765</v>
      </c>
      <c r="H5" s="55">
        <v>83319</v>
      </c>
      <c r="I5" s="55">
        <v>85347</v>
      </c>
      <c r="J5" s="55">
        <v>80129</v>
      </c>
      <c r="K5" s="55">
        <v>113726</v>
      </c>
      <c r="L5" s="55">
        <v>140963</v>
      </c>
      <c r="M5" s="55">
        <v>164383</v>
      </c>
      <c r="N5" s="55">
        <v>166904</v>
      </c>
    </row>
    <row r="6" spans="2:15" x14ac:dyDescent="0.35">
      <c r="B6" s="52" t="s">
        <v>78</v>
      </c>
      <c r="C6" s="57">
        <v>-1913</v>
      </c>
      <c r="D6" s="57">
        <v>1097</v>
      </c>
      <c r="E6" s="57">
        <v>-6880</v>
      </c>
      <c r="F6" s="57">
        <v>-8511</v>
      </c>
      <c r="G6" s="57">
        <v>-21991</v>
      </c>
      <c r="H6" s="57">
        <v>-40136</v>
      </c>
      <c r="I6" s="57">
        <v>-13792</v>
      </c>
      <c r="J6" s="58">
        <v>959</v>
      </c>
      <c r="K6" s="57">
        <v>-14180</v>
      </c>
      <c r="L6" s="57">
        <v>13194</v>
      </c>
      <c r="M6" s="57">
        <v>-15674</v>
      </c>
      <c r="N6" s="57">
        <v>-17837</v>
      </c>
    </row>
    <row r="7" spans="2:15" x14ac:dyDescent="0.35">
      <c r="B7" s="52" t="s">
        <v>45</v>
      </c>
      <c r="C7" s="57">
        <v>-1396</v>
      </c>
      <c r="D7" s="57">
        <v>3472</v>
      </c>
      <c r="E7" s="57">
        <v>6758</v>
      </c>
      <c r="F7" s="57">
        <v>-6899</v>
      </c>
      <c r="G7" s="57">
        <v>-10474</v>
      </c>
      <c r="H7" s="57">
        <v>-6724</v>
      </c>
      <c r="I7" s="57">
        <v>-6342</v>
      </c>
      <c r="J7" s="57">
        <v>-7769</v>
      </c>
      <c r="K7" s="57">
        <v>-24983</v>
      </c>
      <c r="L7" s="57">
        <v>-32228</v>
      </c>
      <c r="M7" s="57">
        <v>-12756</v>
      </c>
      <c r="N7" s="57">
        <v>3134</v>
      </c>
    </row>
    <row r="8" spans="2:15" x14ac:dyDescent="0.35">
      <c r="B8" s="52" t="s">
        <v>130</v>
      </c>
      <c r="C8" s="57">
        <v>14339</v>
      </c>
      <c r="D8" s="57">
        <v>-2754</v>
      </c>
      <c r="E8" s="57">
        <v>7951</v>
      </c>
      <c r="F8" s="57">
        <v>30873</v>
      </c>
      <c r="G8" s="57">
        <v>51003</v>
      </c>
      <c r="H8" s="57">
        <v>18078</v>
      </c>
      <c r="I8" s="57">
        <v>38050</v>
      </c>
      <c r="J8" s="57">
        <v>-43148</v>
      </c>
      <c r="K8" s="57">
        <v>39888</v>
      </c>
      <c r="L8" s="58">
        <v>-600</v>
      </c>
      <c r="M8" s="57">
        <v>34796</v>
      </c>
      <c r="N8" s="57">
        <v>38427</v>
      </c>
    </row>
    <row r="9" spans="2:15" x14ac:dyDescent="0.35">
      <c r="B9" s="56" t="s">
        <v>131</v>
      </c>
      <c r="C9" s="55">
        <v>11030</v>
      </c>
      <c r="D9" s="55">
        <v>1815</v>
      </c>
      <c r="E9" s="55">
        <v>7829</v>
      </c>
      <c r="F9" s="55">
        <v>15463</v>
      </c>
      <c r="G9" s="55">
        <v>18538</v>
      </c>
      <c r="H9" s="55">
        <v>-28782</v>
      </c>
      <c r="I9" s="55">
        <v>17916</v>
      </c>
      <c r="J9" s="55">
        <v>-49958</v>
      </c>
      <c r="K9" s="59">
        <v>725</v>
      </c>
      <c r="L9" s="55">
        <v>-19634</v>
      </c>
      <c r="M9" s="55">
        <v>6366</v>
      </c>
      <c r="N9" s="55">
        <v>23724</v>
      </c>
    </row>
    <row r="10" spans="2:15" x14ac:dyDescent="0.35">
      <c r="B10" s="52" t="s">
        <v>132</v>
      </c>
      <c r="C10" s="57">
        <v>-6213</v>
      </c>
      <c r="D10" s="57">
        <v>-6435</v>
      </c>
      <c r="E10" s="57">
        <v>-8582</v>
      </c>
      <c r="F10" s="57">
        <v>-10083</v>
      </c>
      <c r="G10" s="57">
        <v>-9844</v>
      </c>
      <c r="H10" s="57">
        <v>-12191</v>
      </c>
      <c r="I10" s="57">
        <v>-8386</v>
      </c>
      <c r="J10" s="57">
        <v>-3213</v>
      </c>
      <c r="K10" s="57">
        <v>-3797</v>
      </c>
      <c r="L10" s="57">
        <v>-6297</v>
      </c>
      <c r="M10" s="57">
        <v>-11961</v>
      </c>
      <c r="N10" s="57">
        <v>-11925</v>
      </c>
    </row>
    <row r="11" spans="2:15" x14ac:dyDescent="0.35">
      <c r="B11" s="54" t="s">
        <v>151</v>
      </c>
      <c r="C11" s="55">
        <v>-73070</v>
      </c>
      <c r="D11" s="55">
        <v>-64706</v>
      </c>
      <c r="E11" s="55">
        <v>-36186</v>
      </c>
      <c r="F11" s="55">
        <v>-66201</v>
      </c>
      <c r="G11" s="55">
        <v>-68192</v>
      </c>
      <c r="H11" s="55">
        <v>-94507</v>
      </c>
      <c r="I11" s="55">
        <v>-72497</v>
      </c>
      <c r="J11" s="55">
        <v>-142385</v>
      </c>
      <c r="K11" s="55">
        <v>-109162</v>
      </c>
      <c r="L11" s="55">
        <v>-93001</v>
      </c>
      <c r="M11" s="55">
        <v>-113581</v>
      </c>
      <c r="N11" s="55">
        <v>-137535</v>
      </c>
    </row>
    <row r="12" spans="2:15" x14ac:dyDescent="0.35">
      <c r="B12" s="195" t="s">
        <v>133</v>
      </c>
      <c r="C12" s="196">
        <v>-60087</v>
      </c>
      <c r="D12" s="196">
        <v>-63364</v>
      </c>
      <c r="E12" s="196">
        <v>-46898</v>
      </c>
      <c r="F12" s="196">
        <v>-78109</v>
      </c>
      <c r="G12" s="196">
        <v>-73953</v>
      </c>
      <c r="H12" s="196">
        <v>-93626</v>
      </c>
      <c r="I12" s="196">
        <v>-76517</v>
      </c>
      <c r="J12" s="196">
        <v>-105837</v>
      </c>
      <c r="K12" s="196">
        <v>-100145</v>
      </c>
      <c r="L12" s="196">
        <v>-140988</v>
      </c>
      <c r="M12" s="196">
        <v>-152883</v>
      </c>
      <c r="N12" s="196">
        <v>-139967</v>
      </c>
    </row>
    <row r="13" spans="2:15" x14ac:dyDescent="0.35">
      <c r="B13" s="195" t="s">
        <v>134</v>
      </c>
      <c r="C13" s="197">
        <v>148</v>
      </c>
      <c r="D13" s="197">
        <v>402</v>
      </c>
      <c r="E13" s="197">
        <v>344</v>
      </c>
      <c r="F13" s="196">
        <v>1482</v>
      </c>
      <c r="G13" s="197">
        <v>999</v>
      </c>
      <c r="H13" s="197">
        <v>849</v>
      </c>
      <c r="I13" s="197">
        <v>964</v>
      </c>
      <c r="J13" s="196">
        <v>2319</v>
      </c>
      <c r="K13" s="196">
        <v>3137</v>
      </c>
      <c r="L13" s="196">
        <v>9186</v>
      </c>
      <c r="M13" s="196">
        <v>15307</v>
      </c>
      <c r="N13" s="196">
        <v>2343</v>
      </c>
    </row>
    <row r="14" spans="2:15" x14ac:dyDescent="0.35">
      <c r="B14" s="52" t="s">
        <v>135</v>
      </c>
      <c r="C14" s="57">
        <v>-765659</v>
      </c>
      <c r="D14" s="57">
        <v>-678241</v>
      </c>
      <c r="E14" s="57">
        <v>-715334</v>
      </c>
      <c r="F14" s="57">
        <v>-654760</v>
      </c>
      <c r="G14" s="57">
        <v>-533984</v>
      </c>
      <c r="H14" s="57">
        <v>-1107439</v>
      </c>
      <c r="I14" s="57">
        <v>-1156843</v>
      </c>
      <c r="J14" s="57">
        <v>-689866</v>
      </c>
      <c r="K14" s="57">
        <v>-667878</v>
      </c>
      <c r="L14" s="57">
        <v>-471822</v>
      </c>
      <c r="M14" s="57">
        <v>-513660</v>
      </c>
      <c r="N14" s="57">
        <v>-684340</v>
      </c>
    </row>
    <row r="15" spans="2:15" x14ac:dyDescent="0.35">
      <c r="B15" s="52" t="s">
        <v>136</v>
      </c>
      <c r="C15" s="57">
        <v>749849</v>
      </c>
      <c r="D15" s="57">
        <v>666383</v>
      </c>
      <c r="E15" s="57">
        <v>721182</v>
      </c>
      <c r="F15" s="57">
        <v>663990</v>
      </c>
      <c r="G15" s="57">
        <v>537504</v>
      </c>
      <c r="H15" s="57">
        <v>1103615</v>
      </c>
      <c r="I15" s="57">
        <v>1174796</v>
      </c>
      <c r="J15" s="57">
        <v>642551</v>
      </c>
      <c r="K15" s="57">
        <v>668137</v>
      </c>
      <c r="L15" s="57">
        <v>501266</v>
      </c>
      <c r="M15" s="57">
        <v>531355</v>
      </c>
      <c r="N15" s="57">
        <v>672558</v>
      </c>
    </row>
    <row r="16" spans="2:15" x14ac:dyDescent="0.35">
      <c r="B16" s="52" t="s">
        <v>137</v>
      </c>
      <c r="C16" s="57">
        <v>6413</v>
      </c>
      <c r="D16" s="57">
        <v>6055</v>
      </c>
      <c r="E16" s="57">
        <v>2942</v>
      </c>
      <c r="F16" s="57">
        <v>1110</v>
      </c>
      <c r="G16" s="57">
        <v>1310</v>
      </c>
      <c r="H16" s="58">
        <v>972</v>
      </c>
      <c r="I16" s="57">
        <v>1441</v>
      </c>
      <c r="J16" s="57">
        <v>8400</v>
      </c>
      <c r="K16" s="57">
        <v>5933</v>
      </c>
      <c r="L16" s="57">
        <v>11103</v>
      </c>
      <c r="M16" s="57">
        <v>10648</v>
      </c>
      <c r="N16" s="57">
        <v>15833</v>
      </c>
    </row>
    <row r="17" spans="2:14" x14ac:dyDescent="0.35">
      <c r="B17" s="52" t="s">
        <v>138</v>
      </c>
      <c r="C17" s="58">
        <v>316</v>
      </c>
      <c r="D17" s="58">
        <v>548</v>
      </c>
      <c r="E17" s="58">
        <v>732</v>
      </c>
      <c r="F17" s="58">
        <v>345</v>
      </c>
      <c r="G17" s="57">
        <v>1021</v>
      </c>
      <c r="H17" s="58">
        <v>501</v>
      </c>
      <c r="I17" s="58">
        <v>78</v>
      </c>
      <c r="J17" s="58">
        <v>26</v>
      </c>
      <c r="K17" s="58">
        <v>19</v>
      </c>
      <c r="L17" s="58">
        <v>20</v>
      </c>
      <c r="M17" s="58">
        <v>75</v>
      </c>
      <c r="N17" s="58">
        <v>612</v>
      </c>
    </row>
    <row r="18" spans="2:14" x14ac:dyDescent="0.35">
      <c r="B18" s="52" t="s">
        <v>139</v>
      </c>
      <c r="C18" s="57">
        <v>-4050</v>
      </c>
      <c r="D18" s="57">
        <v>3511</v>
      </c>
      <c r="E18" s="58">
        <v>846</v>
      </c>
      <c r="F18" s="58">
        <v>-259</v>
      </c>
      <c r="G18" s="57">
        <v>-1089</v>
      </c>
      <c r="H18" s="58">
        <v>621</v>
      </c>
      <c r="I18" s="57">
        <v>-16416</v>
      </c>
      <c r="J18" s="58">
        <v>22</v>
      </c>
      <c r="K18" s="57">
        <v>-18365</v>
      </c>
      <c r="L18" s="57">
        <v>-1766</v>
      </c>
      <c r="M18" s="57">
        <v>-4423</v>
      </c>
      <c r="N18" s="57">
        <v>-4574</v>
      </c>
    </row>
    <row r="19" spans="2:14" x14ac:dyDescent="0.35">
      <c r="B19" s="54" t="s">
        <v>152</v>
      </c>
      <c r="C19" s="55">
        <v>13713</v>
      </c>
      <c r="D19" s="55">
        <v>8444</v>
      </c>
      <c r="E19" s="55">
        <v>-3210</v>
      </c>
      <c r="F19" s="55">
        <v>8617</v>
      </c>
      <c r="G19" s="55">
        <v>-2001</v>
      </c>
      <c r="H19" s="55">
        <v>55906</v>
      </c>
      <c r="I19" s="55">
        <v>-2541</v>
      </c>
      <c r="J19" s="55">
        <v>101904</v>
      </c>
      <c r="K19" s="55">
        <v>17289</v>
      </c>
      <c r="L19" s="55">
        <v>10455</v>
      </c>
      <c r="M19" s="55">
        <v>-16646</v>
      </c>
      <c r="N19" s="55">
        <v>-31891</v>
      </c>
    </row>
    <row r="20" spans="2:14" x14ac:dyDescent="0.35">
      <c r="B20" s="52" t="s">
        <v>140</v>
      </c>
      <c r="C20" s="58">
        <v>188</v>
      </c>
      <c r="D20" s="58">
        <v>343</v>
      </c>
      <c r="E20" s="58">
        <v>288</v>
      </c>
      <c r="F20" s="58">
        <v>811</v>
      </c>
      <c r="G20" s="58">
        <v>406</v>
      </c>
      <c r="H20" s="58">
        <v>230</v>
      </c>
      <c r="I20" s="58">
        <v>129</v>
      </c>
      <c r="J20" s="58">
        <v>5</v>
      </c>
      <c r="K20" s="58">
        <v>455</v>
      </c>
      <c r="L20" s="58">
        <v>479</v>
      </c>
      <c r="M20" s="57">
        <v>20915</v>
      </c>
      <c r="N20" s="58">
        <v>0</v>
      </c>
    </row>
    <row r="21" spans="2:14" x14ac:dyDescent="0.35">
      <c r="B21" s="52" t="s">
        <v>141</v>
      </c>
      <c r="C21" s="57">
        <v>42152</v>
      </c>
      <c r="D21" s="57">
        <v>29413</v>
      </c>
      <c r="E21" s="57">
        <v>34673</v>
      </c>
      <c r="F21" s="57">
        <v>31728</v>
      </c>
      <c r="G21" s="57">
        <v>36970</v>
      </c>
      <c r="H21" s="57">
        <v>106701</v>
      </c>
      <c r="I21" s="57">
        <v>53760</v>
      </c>
      <c r="J21" s="57">
        <v>46421</v>
      </c>
      <c r="K21" s="57">
        <v>59343</v>
      </c>
      <c r="L21" s="57">
        <v>67134</v>
      </c>
      <c r="M21" s="57">
        <v>69610</v>
      </c>
      <c r="N21" s="57">
        <v>51002</v>
      </c>
    </row>
    <row r="22" spans="2:14" x14ac:dyDescent="0.35">
      <c r="B22" s="52" t="s">
        <v>142</v>
      </c>
      <c r="C22" s="57">
        <v>-19835</v>
      </c>
      <c r="D22" s="57">
        <v>-11909</v>
      </c>
      <c r="E22" s="57">
        <v>-21693</v>
      </c>
      <c r="F22" s="57">
        <v>-18542</v>
      </c>
      <c r="G22" s="57">
        <v>-19813</v>
      </c>
      <c r="H22" s="57">
        <v>-20245</v>
      </c>
      <c r="I22" s="57">
        <v>-18179</v>
      </c>
      <c r="J22" s="57">
        <v>-116921</v>
      </c>
      <c r="K22" s="57">
        <v>-49493</v>
      </c>
      <c r="L22" s="57">
        <v>-29059</v>
      </c>
      <c r="M22" s="57">
        <v>-60348</v>
      </c>
      <c r="N22" s="57">
        <v>-31755</v>
      </c>
    </row>
    <row r="23" spans="2:14" x14ac:dyDescent="0.35">
      <c r="B23" s="52" t="s">
        <v>143</v>
      </c>
      <c r="C23" s="57">
        <v>-5619</v>
      </c>
      <c r="D23" s="57">
        <v>-6149</v>
      </c>
      <c r="E23" s="57">
        <v>-9224</v>
      </c>
      <c r="F23" s="57">
        <v>-12920</v>
      </c>
      <c r="G23" s="57">
        <v>-17669</v>
      </c>
      <c r="H23" s="57">
        <v>-23338</v>
      </c>
      <c r="I23" s="57">
        <v>-28508</v>
      </c>
      <c r="J23" s="57">
        <v>-18340</v>
      </c>
      <c r="K23" s="57">
        <v>-26349</v>
      </c>
      <c r="L23" s="57">
        <v>-21650</v>
      </c>
      <c r="M23" s="57">
        <v>-37173</v>
      </c>
      <c r="N23" s="57">
        <v>-41024</v>
      </c>
    </row>
    <row r="24" spans="2:14" x14ac:dyDescent="0.35">
      <c r="B24" s="52" t="s">
        <v>144</v>
      </c>
      <c r="C24" s="57">
        <v>-3123</v>
      </c>
      <c r="D24" s="57">
        <v>-3268</v>
      </c>
      <c r="E24" s="57">
        <v>-7259</v>
      </c>
      <c r="F24" s="58">
        <v>-53</v>
      </c>
      <c r="G24" s="57">
        <v>-3916</v>
      </c>
      <c r="H24" s="57">
        <v>-4282</v>
      </c>
      <c r="I24" s="57">
        <v>-4592</v>
      </c>
      <c r="J24" s="57">
        <v>-3921</v>
      </c>
      <c r="K24" s="57">
        <v>-4297</v>
      </c>
      <c r="L24" s="57">
        <v>-5083</v>
      </c>
      <c r="M24" s="57">
        <v>-6089</v>
      </c>
      <c r="N24" s="57">
        <v>-7180</v>
      </c>
    </row>
    <row r="25" spans="2:14" x14ac:dyDescent="0.35">
      <c r="B25" s="52" t="s">
        <v>145</v>
      </c>
      <c r="C25" s="58">
        <v>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7">
        <v>-1062</v>
      </c>
      <c r="J25" s="57">
        <v>-1022</v>
      </c>
      <c r="K25" s="57">
        <v>-2132</v>
      </c>
      <c r="L25" s="57">
        <v>-1406</v>
      </c>
      <c r="M25" s="57">
        <v>-2483</v>
      </c>
      <c r="N25" s="57">
        <v>-2956</v>
      </c>
    </row>
    <row r="26" spans="2:14" x14ac:dyDescent="0.35">
      <c r="B26" s="52" t="s">
        <v>146</v>
      </c>
      <c r="C26" s="58">
        <v>17</v>
      </c>
      <c r="D26" s="58">
        <v>17</v>
      </c>
      <c r="E26" s="58">
        <v>8</v>
      </c>
      <c r="F26" s="58">
        <v>4</v>
      </c>
      <c r="G26" s="58">
        <v>15</v>
      </c>
      <c r="H26" s="58">
        <v>2</v>
      </c>
      <c r="I26" s="58">
        <v>1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</row>
    <row r="27" spans="2:14" x14ac:dyDescent="0.35">
      <c r="B27" s="52" t="s">
        <v>147</v>
      </c>
      <c r="C27" s="58">
        <v>-67</v>
      </c>
      <c r="D27" s="58">
        <v>-3</v>
      </c>
      <c r="E27" s="58">
        <v>-3</v>
      </c>
      <c r="F27" s="57">
        <v>7589</v>
      </c>
      <c r="G27" s="57">
        <v>2006</v>
      </c>
      <c r="H27" s="57">
        <v>-3162</v>
      </c>
      <c r="I27" s="57">
        <v>-4090</v>
      </c>
      <c r="J27" s="57">
        <v>195682</v>
      </c>
      <c r="K27" s="57">
        <v>39762</v>
      </c>
      <c r="L27" s="58">
        <v>40</v>
      </c>
      <c r="M27" s="57">
        <v>-1078</v>
      </c>
      <c r="N27" s="58">
        <v>22</v>
      </c>
    </row>
    <row r="28" spans="2:14" x14ac:dyDescent="0.35">
      <c r="B28" s="54" t="s">
        <v>35</v>
      </c>
      <c r="C28" s="55">
        <v>-16096</v>
      </c>
      <c r="D28" s="55">
        <v>-21888</v>
      </c>
      <c r="E28" s="55">
        <v>-1262</v>
      </c>
      <c r="F28" s="55">
        <v>-8034</v>
      </c>
      <c r="G28" s="55">
        <v>1266</v>
      </c>
      <c r="H28" s="55">
        <v>3745</v>
      </c>
      <c r="I28" s="55">
        <v>19839</v>
      </c>
      <c r="J28" s="55">
        <v>-13523</v>
      </c>
      <c r="K28" s="55">
        <v>18781</v>
      </c>
      <c r="L28" s="55">
        <v>32486</v>
      </c>
      <c r="M28" s="55">
        <v>28561</v>
      </c>
      <c r="N28" s="55">
        <v>9277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K43"/>
  <sheetViews>
    <sheetView showGridLines="0" topLeftCell="A27" workbookViewId="0">
      <selection activeCell="D41" sqref="D41"/>
    </sheetView>
  </sheetViews>
  <sheetFormatPr defaultRowHeight="14.5" x14ac:dyDescent="0.35"/>
  <cols>
    <col min="1" max="1" width="4.90625" customWidth="1"/>
    <col min="2" max="2" width="44.453125" bestFit="1" customWidth="1"/>
    <col min="3" max="4" width="7.81640625" bestFit="1" customWidth="1"/>
    <col min="5" max="5" width="9.453125" bestFit="1" customWidth="1"/>
    <col min="6" max="6" width="10.6328125" bestFit="1" customWidth="1"/>
    <col min="7" max="7" width="29.08984375" bestFit="1" customWidth="1"/>
    <col min="8" max="8" width="6.81640625" bestFit="1" customWidth="1"/>
    <col min="9" max="9" width="7.36328125" bestFit="1" customWidth="1"/>
    <col min="10" max="10" width="9.36328125" bestFit="1" customWidth="1"/>
    <col min="11" max="11" width="11.54296875" bestFit="1" customWidth="1"/>
  </cols>
  <sheetData>
    <row r="2" spans="2:11" ht="18.5" x14ac:dyDescent="0.45">
      <c r="B2" s="102" t="s">
        <v>201</v>
      </c>
      <c r="C2" s="44"/>
      <c r="D2" s="44"/>
      <c r="E2" s="44"/>
      <c r="F2" s="44"/>
      <c r="G2" s="44"/>
      <c r="H2" s="44"/>
      <c r="I2" s="44"/>
      <c r="J2" s="44"/>
      <c r="K2" s="44"/>
    </row>
    <row r="3" spans="2:11" x14ac:dyDescent="0.35">
      <c r="K3" s="103"/>
    </row>
    <row r="4" spans="2:11" x14ac:dyDescent="0.35">
      <c r="B4" s="209" t="s">
        <v>202</v>
      </c>
      <c r="C4" s="209"/>
      <c r="D4" s="209"/>
      <c r="E4" s="209"/>
      <c r="F4" s="209"/>
    </row>
    <row r="6" spans="2:11" x14ac:dyDescent="0.35">
      <c r="B6" t="s">
        <v>203</v>
      </c>
    </row>
    <row r="7" spans="2:11" x14ac:dyDescent="0.35">
      <c r="B7" s="104"/>
      <c r="C7" s="104"/>
      <c r="D7" s="104"/>
      <c r="E7" s="104"/>
      <c r="F7" s="104"/>
      <c r="G7" s="105" t="s">
        <v>204</v>
      </c>
      <c r="H7" s="105" t="s">
        <v>204</v>
      </c>
      <c r="I7" s="105" t="s">
        <v>205</v>
      </c>
      <c r="J7" s="105" t="s">
        <v>206</v>
      </c>
      <c r="K7" s="105" t="s">
        <v>206</v>
      </c>
    </row>
    <row r="8" spans="2:11" ht="16.5" x14ac:dyDescent="0.35">
      <c r="B8" s="106" t="s">
        <v>207</v>
      </c>
      <c r="C8" s="106"/>
      <c r="D8" s="106" t="s">
        <v>208</v>
      </c>
      <c r="E8" s="106" t="s">
        <v>209</v>
      </c>
      <c r="F8" s="106" t="s">
        <v>210</v>
      </c>
      <c r="G8" s="106" t="s">
        <v>211</v>
      </c>
      <c r="H8" s="107" t="s">
        <v>212</v>
      </c>
      <c r="I8" s="107" t="s">
        <v>213</v>
      </c>
      <c r="J8" s="107" t="s">
        <v>214</v>
      </c>
      <c r="K8" s="107" t="s">
        <v>215</v>
      </c>
    </row>
    <row r="9" spans="2:11" x14ac:dyDescent="0.35">
      <c r="B9" s="108" t="s">
        <v>216</v>
      </c>
      <c r="C9" s="109"/>
      <c r="D9" s="109" t="s">
        <v>217</v>
      </c>
      <c r="E9" s="110">
        <f>'[2]BETA Comps.'!F3</f>
        <v>630.38</v>
      </c>
      <c r="F9" s="111">
        <f>'[2]BETA Comps.'!E3</f>
        <v>279783.37</v>
      </c>
      <c r="G9" s="112">
        <v>0.3</v>
      </c>
      <c r="H9" s="113">
        <f>E9/F9</f>
        <v>2.2531003182926848E-3</v>
      </c>
      <c r="I9" s="114">
        <f>E9/(E9+F9)</f>
        <v>2.2480352693118651E-3</v>
      </c>
      <c r="J9" s="115">
        <f>[2]Sheet2!L6</f>
        <v>1.2681188370272609</v>
      </c>
      <c r="K9" s="116">
        <f>J9/(1+(1-G9)*H9)</f>
        <v>1.2661219471937073</v>
      </c>
    </row>
    <row r="10" spans="2:11" x14ac:dyDescent="0.35">
      <c r="B10" s="108" t="s">
        <v>218</v>
      </c>
      <c r="C10" s="109"/>
      <c r="D10" s="109" t="s">
        <v>217</v>
      </c>
      <c r="E10" s="110">
        <f>'[2]BETA Comps.'!F4</f>
        <v>4839.33</v>
      </c>
      <c r="F10" s="111">
        <f>'[2]BETA Comps.'!E4</f>
        <v>140524.04</v>
      </c>
      <c r="G10" s="112">
        <v>0.3</v>
      </c>
      <c r="H10" s="113">
        <f t="shared" ref="H10:H13" si="0">E10/F10</f>
        <v>3.4437737486055761E-2</v>
      </c>
      <c r="I10" s="114">
        <f t="shared" ref="I10:I13" si="1">E10/(E10+F10)</f>
        <v>3.3291261753218851E-2</v>
      </c>
      <c r="J10" s="115">
        <v>1</v>
      </c>
      <c r="K10" s="116">
        <f t="shared" ref="J10:K17" si="2">J10/(1+(1-G10)*H10)</f>
        <v>0.9764610241104239</v>
      </c>
    </row>
    <row r="11" spans="2:11" x14ac:dyDescent="0.35">
      <c r="B11" s="108" t="s">
        <v>219</v>
      </c>
      <c r="C11" s="109"/>
      <c r="D11" s="109" t="s">
        <v>217</v>
      </c>
      <c r="E11" s="110">
        <f>'[2]BETA Comps.'!F5</f>
        <v>365.02</v>
      </c>
      <c r="F11" s="111">
        <f>'[2]BETA Comps.'!E5</f>
        <v>22671.01</v>
      </c>
      <c r="G11" s="112">
        <v>0.3</v>
      </c>
      <c r="H11" s="113">
        <f t="shared" si="0"/>
        <v>1.6100738343814414E-2</v>
      </c>
      <c r="I11" s="114">
        <f t="shared" si="1"/>
        <v>1.5845612286492075E-2</v>
      </c>
      <c r="J11" s="115">
        <v>1</v>
      </c>
      <c r="K11" s="116">
        <f t="shared" si="2"/>
        <v>0.98885509203226785</v>
      </c>
    </row>
    <row r="12" spans="2:11" x14ac:dyDescent="0.35">
      <c r="B12" s="108" t="s">
        <v>220</v>
      </c>
      <c r="C12" s="109"/>
      <c r="D12" s="109" t="s">
        <v>217</v>
      </c>
      <c r="E12" s="110">
        <f>'[2]BETA Comps.'!F6</f>
        <v>10174.77</v>
      </c>
      <c r="F12" s="111">
        <f>'[2]BETA Comps.'!E6</f>
        <v>19500.64</v>
      </c>
      <c r="G12" s="112">
        <v>0.3</v>
      </c>
      <c r="H12" s="113">
        <f t="shared" si="0"/>
        <v>0.52176595229695033</v>
      </c>
      <c r="I12" s="114">
        <f t="shared" si="1"/>
        <v>0.34286872531836965</v>
      </c>
      <c r="J12" s="115">
        <v>1</v>
      </c>
      <c r="K12" s="116">
        <f t="shared" si="2"/>
        <v>0.7324740030031951</v>
      </c>
    </row>
    <row r="13" spans="2:11" x14ac:dyDescent="0.35">
      <c r="B13" s="108" t="s">
        <v>221</v>
      </c>
      <c r="C13" s="109"/>
      <c r="D13" s="109" t="s">
        <v>217</v>
      </c>
      <c r="E13" s="110">
        <f>'[2]BETA Comps.'!F7</f>
        <v>470.82</v>
      </c>
      <c r="F13" s="111">
        <f>'[2]BETA Comps.'!E7</f>
        <v>8657.2800000000007</v>
      </c>
      <c r="G13" s="112">
        <v>0.3</v>
      </c>
      <c r="H13" s="113">
        <f t="shared" si="0"/>
        <v>5.4384286981592367E-2</v>
      </c>
      <c r="I13" s="114">
        <f t="shared" si="1"/>
        <v>5.1579189535609818E-2</v>
      </c>
      <c r="J13" s="115">
        <v>1</v>
      </c>
      <c r="K13" s="116">
        <f t="shared" si="2"/>
        <v>0.96332709978375075</v>
      </c>
    </row>
    <row r="14" spans="2:11" x14ac:dyDescent="0.35">
      <c r="I14" s="115"/>
      <c r="J14" s="84"/>
    </row>
    <row r="15" spans="2:11" x14ac:dyDescent="0.35">
      <c r="I15" s="115"/>
      <c r="J15" s="84"/>
    </row>
    <row r="16" spans="2:11" x14ac:dyDescent="0.35">
      <c r="E16" s="117" t="s">
        <v>222</v>
      </c>
      <c r="F16" s="118">
        <f>AVERAGE(G9:G13)</f>
        <v>0.3</v>
      </c>
      <c r="G16" s="118">
        <f t="shared" ref="G16:H16" si="3">AVERAGE(H9:H13)</f>
        <v>0.12578836308534111</v>
      </c>
      <c r="H16" s="118">
        <f t="shared" si="3"/>
        <v>8.9166564832600451E-2</v>
      </c>
      <c r="I16" s="119">
        <v>1</v>
      </c>
      <c r="J16" s="120">
        <f t="shared" si="2"/>
        <v>0.91907384393206337</v>
      </c>
      <c r="K16" s="104"/>
    </row>
    <row r="17" spans="2:11" x14ac:dyDescent="0.35">
      <c r="E17" s="121" t="s">
        <v>223</v>
      </c>
      <c r="F17" s="122">
        <f>MEDIAN(G9:G13)</f>
        <v>0.3</v>
      </c>
      <c r="G17" s="122">
        <f t="shared" ref="G17:H17" si="4">MEDIAN(H9:H13)</f>
        <v>3.4437737486055761E-2</v>
      </c>
      <c r="H17" s="122">
        <f t="shared" si="4"/>
        <v>3.3291261753218851E-2</v>
      </c>
      <c r="I17" s="123">
        <v>1</v>
      </c>
      <c r="J17" s="124">
        <f t="shared" si="2"/>
        <v>0.9764610241104239</v>
      </c>
      <c r="K17" s="106"/>
    </row>
    <row r="20" spans="2:11" ht="15" thickBot="1" x14ac:dyDescent="0.4">
      <c r="B20" s="125" t="s">
        <v>224</v>
      </c>
      <c r="C20" s="125"/>
      <c r="D20" s="126"/>
      <c r="E20" s="126"/>
      <c r="G20" s="125" t="s">
        <v>225</v>
      </c>
      <c r="H20" s="126"/>
      <c r="I20" s="126"/>
      <c r="J20" s="126"/>
      <c r="K20" s="126"/>
    </row>
    <row r="22" spans="2:11" x14ac:dyDescent="0.35">
      <c r="B22" t="s">
        <v>226</v>
      </c>
      <c r="E22" s="127">
        <v>8.4000000000000005E-2</v>
      </c>
      <c r="G22" t="s">
        <v>227</v>
      </c>
      <c r="K22" s="128">
        <v>6.5000000000000002E-2</v>
      </c>
    </row>
    <row r="23" spans="2:11" x14ac:dyDescent="0.35">
      <c r="B23" t="s">
        <v>228</v>
      </c>
      <c r="E23" s="129">
        <v>0.3</v>
      </c>
      <c r="G23" t="s">
        <v>229</v>
      </c>
      <c r="K23" s="128">
        <v>0.08</v>
      </c>
    </row>
    <row r="24" spans="2:11" ht="16.5" x14ac:dyDescent="0.35">
      <c r="B24" s="130" t="s">
        <v>230</v>
      </c>
      <c r="C24" s="130"/>
      <c r="D24" s="130"/>
      <c r="E24" s="131">
        <f>E22*(1-E23)</f>
        <v>5.8799999999999998E-2</v>
      </c>
      <c r="G24" t="s">
        <v>231</v>
      </c>
      <c r="K24" s="116">
        <f>K33</f>
        <v>1.48167346701973</v>
      </c>
    </row>
    <row r="25" spans="2:11" x14ac:dyDescent="0.35">
      <c r="G25" s="130" t="s">
        <v>225</v>
      </c>
      <c r="H25" s="130"/>
      <c r="I25" s="130"/>
      <c r="J25" s="130"/>
      <c r="K25" s="114">
        <f>K22+K23*K24</f>
        <v>0.18353387736157839</v>
      </c>
    </row>
    <row r="28" spans="2:11" ht="15" thickBot="1" x14ac:dyDescent="0.4">
      <c r="B28" s="125" t="s">
        <v>232</v>
      </c>
      <c r="C28" s="125"/>
      <c r="D28" s="126"/>
      <c r="E28" s="126"/>
      <c r="G28" s="125" t="s">
        <v>233</v>
      </c>
      <c r="H28" s="125"/>
      <c r="I28" s="126"/>
      <c r="J28" s="126"/>
    </row>
    <row r="30" spans="2:11" ht="15" thickBot="1" x14ac:dyDescent="0.4">
      <c r="D30" s="132" t="s">
        <v>234</v>
      </c>
      <c r="E30" s="132" t="s">
        <v>235</v>
      </c>
      <c r="G30" t="s">
        <v>236</v>
      </c>
      <c r="K30" s="116">
        <f>J17</f>
        <v>0.9764610241104239</v>
      </c>
    </row>
    <row r="31" spans="2:11" x14ac:dyDescent="0.35">
      <c r="B31" t="s">
        <v>209</v>
      </c>
      <c r="C31" s="133">
        <v>17440</v>
      </c>
      <c r="D31" s="114">
        <f>C31/$C$33</f>
        <v>0.35087013378935722</v>
      </c>
      <c r="E31" s="128">
        <v>0.42499999999999999</v>
      </c>
      <c r="G31" t="s">
        <v>237</v>
      </c>
      <c r="K31" s="114">
        <f>E35</f>
        <v>0.73913043478260876</v>
      </c>
    </row>
    <row r="32" spans="2:11" x14ac:dyDescent="0.35">
      <c r="B32" t="s">
        <v>238</v>
      </c>
      <c r="C32" s="133">
        <v>32265</v>
      </c>
      <c r="D32" s="114">
        <f>C32/$C$33</f>
        <v>0.64912986621064284</v>
      </c>
      <c r="E32" s="114">
        <f>E33-E31</f>
        <v>0.57499999999999996</v>
      </c>
      <c r="G32" t="s">
        <v>13</v>
      </c>
      <c r="K32" s="134">
        <f>E23</f>
        <v>0.3</v>
      </c>
    </row>
    <row r="33" spans="2:11" x14ac:dyDescent="0.35">
      <c r="B33" s="130" t="s">
        <v>239</v>
      </c>
      <c r="C33" s="135">
        <f>C31+C32</f>
        <v>49705</v>
      </c>
      <c r="D33" s="131">
        <f>C33/$C$33</f>
        <v>1</v>
      </c>
      <c r="E33" s="136">
        <v>1</v>
      </c>
      <c r="G33" s="130" t="s">
        <v>233</v>
      </c>
      <c r="H33" s="130"/>
      <c r="I33" s="130"/>
      <c r="J33" s="130"/>
      <c r="K33" s="116">
        <f>K30*(1+(1-K32)*K31)</f>
        <v>1.48167346701973</v>
      </c>
    </row>
    <row r="35" spans="2:11" ht="15" thickBot="1" x14ac:dyDescent="0.4">
      <c r="B35" t="s">
        <v>240</v>
      </c>
      <c r="D35" s="114">
        <f>D31/D32</f>
        <v>0.54052378738571205</v>
      </c>
      <c r="E35" s="114">
        <f>E31/E32</f>
        <v>0.73913043478260876</v>
      </c>
      <c r="G35" s="125" t="s">
        <v>201</v>
      </c>
      <c r="H35" s="125"/>
      <c r="I35" s="125"/>
      <c r="J35" s="126"/>
    </row>
    <row r="37" spans="2:11" x14ac:dyDescent="0.35">
      <c r="J37" s="137" t="s">
        <v>241</v>
      </c>
      <c r="K37" s="137" t="s">
        <v>242</v>
      </c>
    </row>
    <row r="38" spans="2:11" x14ac:dyDescent="0.35">
      <c r="G38" t="s">
        <v>243</v>
      </c>
      <c r="J38" s="114">
        <f>E24</f>
        <v>5.8799999999999998E-2</v>
      </c>
      <c r="K38" s="114">
        <f>E31</f>
        <v>0.42499999999999999</v>
      </c>
    </row>
    <row r="39" spans="2:11" x14ac:dyDescent="0.35">
      <c r="B39" s="138" t="s">
        <v>244</v>
      </c>
      <c r="G39" t="s">
        <v>212</v>
      </c>
      <c r="J39" s="114">
        <f>K25</f>
        <v>0.18353387736157839</v>
      </c>
      <c r="K39" s="114">
        <f>E32</f>
        <v>0.57499999999999996</v>
      </c>
    </row>
    <row r="40" spans="2:11" x14ac:dyDescent="0.35">
      <c r="B40" s="139" t="s">
        <v>245</v>
      </c>
      <c r="C40" s="139"/>
      <c r="D40" s="139"/>
      <c r="G40" s="130" t="s">
        <v>246</v>
      </c>
      <c r="H40" s="130"/>
      <c r="I40" s="130"/>
      <c r="J40" s="130"/>
      <c r="K40" s="131">
        <f>SUMPRODUCT(J38:J39,K38:K39)</f>
        <v>0.13052197948290756</v>
      </c>
    </row>
    <row r="41" spans="2:11" x14ac:dyDescent="0.35">
      <c r="B41" s="139" t="s">
        <v>247</v>
      </c>
      <c r="C41" s="139"/>
      <c r="D41" s="139"/>
    </row>
    <row r="42" spans="2:11" x14ac:dyDescent="0.35">
      <c r="B42" s="139" t="s">
        <v>248</v>
      </c>
      <c r="C42" s="139"/>
      <c r="D42" s="139"/>
    </row>
    <row r="43" spans="2:11" x14ac:dyDescent="0.35">
      <c r="B43" s="139" t="s">
        <v>249</v>
      </c>
      <c r="C43" s="139"/>
      <c r="D43" s="139"/>
    </row>
  </sheetData>
  <mergeCells count="1">
    <mergeCell ref="B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L47"/>
  <sheetViews>
    <sheetView showGridLines="0" tabSelected="1" topLeftCell="A24" workbookViewId="0">
      <selection activeCell="E31" sqref="E31"/>
    </sheetView>
  </sheetViews>
  <sheetFormatPr defaultRowHeight="14.5" x14ac:dyDescent="0.35"/>
  <cols>
    <col min="1" max="1" width="3.54296875" customWidth="1"/>
    <col min="5" max="5" width="20" bestFit="1" customWidth="1"/>
  </cols>
  <sheetData>
    <row r="2" spans="2:12" x14ac:dyDescent="0.35">
      <c r="B2" s="165"/>
      <c r="C2" s="165"/>
      <c r="D2" s="165"/>
      <c r="G2" s="45"/>
      <c r="H2" s="45"/>
      <c r="I2" s="45"/>
      <c r="J2" s="45"/>
      <c r="K2" s="45"/>
      <c r="L2" s="45"/>
    </row>
    <row r="3" spans="2:12" x14ac:dyDescent="0.35">
      <c r="B3" s="154" t="s">
        <v>289</v>
      </c>
      <c r="C3" s="154"/>
      <c r="D3" s="154"/>
      <c r="E3" s="154"/>
      <c r="F3" s="154"/>
      <c r="G3" s="155" t="s">
        <v>362</v>
      </c>
      <c r="H3" s="200">
        <v>46082</v>
      </c>
      <c r="I3" s="200">
        <v>46448</v>
      </c>
      <c r="J3" s="200">
        <v>46815</v>
      </c>
      <c r="K3" s="200">
        <v>47181</v>
      </c>
      <c r="L3" s="200">
        <v>47547</v>
      </c>
    </row>
    <row r="5" spans="2:12" x14ac:dyDescent="0.35">
      <c r="B5" t="s">
        <v>290</v>
      </c>
      <c r="G5">
        <f>'Intrisic Growth '!L34</f>
        <v>112462</v>
      </c>
      <c r="H5">
        <f>G5*(1+$G$21)</f>
        <v>126254.85042434777</v>
      </c>
      <c r="I5">
        <f t="shared" ref="I5:L5" si="0">H5*(1+H21)</f>
        <v>126254.85042434777</v>
      </c>
      <c r="J5">
        <f t="shared" si="0"/>
        <v>126254.85042434777</v>
      </c>
      <c r="K5">
        <f t="shared" si="0"/>
        <v>126254.85042434777</v>
      </c>
      <c r="L5">
        <f t="shared" si="0"/>
        <v>126254.85042434777</v>
      </c>
    </row>
    <row r="7" spans="2:12" x14ac:dyDescent="0.35">
      <c r="B7" t="s">
        <v>291</v>
      </c>
      <c r="F7" s="146"/>
      <c r="G7" s="146">
        <f>'Intrisic Growth '!L45</f>
        <v>0.28607712630254101</v>
      </c>
      <c r="H7" s="146">
        <v>0.28610000000000002</v>
      </c>
      <c r="I7" s="146">
        <v>0.28610000000000002</v>
      </c>
      <c r="J7" s="146">
        <v>0.28610000000000002</v>
      </c>
      <c r="K7" s="146">
        <v>0.28610000000000002</v>
      </c>
      <c r="L7" s="146">
        <v>0.28610000000000002</v>
      </c>
    </row>
    <row r="9" spans="2:12" x14ac:dyDescent="0.35">
      <c r="B9" t="s">
        <v>292</v>
      </c>
      <c r="G9">
        <f>G5*(1-G7)</f>
        <v>80289.194221763639</v>
      </c>
      <c r="H9">
        <f>G9*(1+$G$21)</f>
        <v>90136.225633193215</v>
      </c>
      <c r="I9">
        <f t="shared" ref="I9:L9" si="1">H9*(1+$G$21)</f>
        <v>101190.94169705386</v>
      </c>
      <c r="J9">
        <f t="shared" si="1"/>
        <v>113601.45834379995</v>
      </c>
      <c r="K9">
        <f t="shared" si="1"/>
        <v>127534.05711426292</v>
      </c>
      <c r="L9">
        <f t="shared" si="1"/>
        <v>143175.41307260667</v>
      </c>
    </row>
    <row r="11" spans="2:12" x14ac:dyDescent="0.35">
      <c r="B11" t="s">
        <v>293</v>
      </c>
      <c r="F11" s="36"/>
      <c r="G11" s="36">
        <f>'Intrisic Growth '!P50</f>
        <v>0.85810062345728877</v>
      </c>
      <c r="H11">
        <f>G11*(1+$G$21)</f>
        <v>0.96334198096814538</v>
      </c>
      <c r="I11">
        <f t="shared" ref="I11:L11" si="2">H11*(1+$G$21)</f>
        <v>1.0814906165160505</v>
      </c>
      <c r="J11">
        <f t="shared" si="2"/>
        <v>1.2141295372976615</v>
      </c>
      <c r="K11">
        <f t="shared" si="2"/>
        <v>1.3630358977014354</v>
      </c>
      <c r="L11">
        <f t="shared" si="2"/>
        <v>1.5302048104009471</v>
      </c>
    </row>
    <row r="13" spans="2:12" x14ac:dyDescent="0.35">
      <c r="B13" t="s">
        <v>294</v>
      </c>
      <c r="G13">
        <f>G9*(1-G11)</f>
        <v>11392.986603184914</v>
      </c>
      <c r="H13">
        <f>G13*(1+$G$21)</f>
        <v>12790.274221263266</v>
      </c>
      <c r="I13">
        <f t="shared" ref="I13:L13" si="3">H13*(1+$G$21)</f>
        <v>14358.931538581784</v>
      </c>
      <c r="J13">
        <f t="shared" si="3"/>
        <v>16119.976113327995</v>
      </c>
      <c r="K13">
        <f t="shared" si="3"/>
        <v>18097.003192476437</v>
      </c>
      <c r="L13">
        <f t="shared" si="3"/>
        <v>20316.501851248035</v>
      </c>
    </row>
    <row r="15" spans="2:12" x14ac:dyDescent="0.35">
      <c r="B15" t="s">
        <v>295</v>
      </c>
      <c r="H15">
        <v>0.5</v>
      </c>
      <c r="I15">
        <f>H15+1</f>
        <v>1.5</v>
      </c>
      <c r="J15">
        <f t="shared" ref="J15:L15" si="4">I15+1</f>
        <v>2.5</v>
      </c>
      <c r="K15">
        <f t="shared" si="4"/>
        <v>3.5</v>
      </c>
      <c r="L15">
        <f t="shared" si="4"/>
        <v>4.5</v>
      </c>
    </row>
    <row r="17" spans="2:12" x14ac:dyDescent="0.35">
      <c r="B17" t="s">
        <v>296</v>
      </c>
      <c r="G17" s="156"/>
      <c r="H17" s="156">
        <f>1/(1+$G$23)^H15</f>
        <v>0.94050367062261442</v>
      </c>
      <c r="I17" s="156">
        <f t="shared" ref="I17:L17" si="5">1/(1+$G$23)^I15</f>
        <v>0.83191984560335019</v>
      </c>
      <c r="J17" s="156">
        <f t="shared" si="5"/>
        <v>0.73587233216276282</v>
      </c>
      <c r="K17" s="156">
        <f t="shared" si="5"/>
        <v>0.65091377745645007</v>
      </c>
      <c r="L17" s="156">
        <f t="shared" si="5"/>
        <v>0.57576392964440493</v>
      </c>
    </row>
    <row r="19" spans="2:12" ht="15" thickBot="1" x14ac:dyDescent="0.4">
      <c r="B19" s="157" t="s">
        <v>297</v>
      </c>
      <c r="C19" s="158"/>
      <c r="D19" s="158"/>
      <c r="E19" s="158"/>
      <c r="F19" s="159"/>
      <c r="G19" s="160"/>
      <c r="H19" s="160">
        <f>H13*H17</f>
        <v>12029.299853367902</v>
      </c>
      <c r="I19" s="160">
        <f t="shared" ref="I19:L19" si="6">I13*I17</f>
        <v>11945.480108606034</v>
      </c>
      <c r="J19" s="160">
        <f t="shared" si="6"/>
        <v>11862.2444169227</v>
      </c>
      <c r="K19" s="160">
        <f t="shared" si="6"/>
        <v>11779.588708656274</v>
      </c>
      <c r="L19" s="160">
        <f t="shared" si="6"/>
        <v>11697.508942502396</v>
      </c>
    </row>
    <row r="20" spans="2:12" ht="15" thickTop="1" x14ac:dyDescent="0.35"/>
    <row r="21" spans="2:12" x14ac:dyDescent="0.35">
      <c r="B21" s="147" t="s">
        <v>298</v>
      </c>
      <c r="C21" s="147"/>
      <c r="D21" s="147"/>
      <c r="E21" s="97"/>
      <c r="G21" s="36">
        <f>'Intrisic Growth '!P56</f>
        <v>0.12264454148377033</v>
      </c>
    </row>
    <row r="22" spans="2:12" x14ac:dyDescent="0.35">
      <c r="B22" s="147" t="s">
        <v>299</v>
      </c>
      <c r="C22" s="147"/>
      <c r="D22" s="147"/>
      <c r="E22" s="97"/>
      <c r="G22" s="36">
        <v>5.8999999999999997E-2</v>
      </c>
    </row>
    <row r="23" spans="2:12" x14ac:dyDescent="0.35">
      <c r="B23" s="147" t="s">
        <v>300</v>
      </c>
      <c r="C23" s="147"/>
      <c r="D23" s="147"/>
      <c r="E23" s="97"/>
      <c r="G23" s="36">
        <f>wacc!K40</f>
        <v>0.13052197948290756</v>
      </c>
    </row>
    <row r="26" spans="2:12" x14ac:dyDescent="0.35">
      <c r="B26" s="154" t="s">
        <v>301</v>
      </c>
      <c r="C26" s="154"/>
      <c r="D26" s="154"/>
      <c r="E26" s="154"/>
    </row>
    <row r="27" spans="2:12" x14ac:dyDescent="0.35">
      <c r="B27" t="s">
        <v>302</v>
      </c>
      <c r="E27">
        <f>L13*(1+$G$21)</f>
        <v>22808.209905348518</v>
      </c>
    </row>
    <row r="28" spans="2:12" x14ac:dyDescent="0.35">
      <c r="B28" t="s">
        <v>300</v>
      </c>
      <c r="E28" s="36">
        <f>G23</f>
        <v>0.13052197948290756</v>
      </c>
    </row>
    <row r="29" spans="2:12" x14ac:dyDescent="0.35">
      <c r="B29" t="s">
        <v>303</v>
      </c>
      <c r="E29" s="36">
        <v>5.0900000000000001E-2</v>
      </c>
    </row>
    <row r="31" spans="2:12" ht="15" thickBot="1" x14ac:dyDescent="0.4">
      <c r="B31" s="157" t="s">
        <v>304</v>
      </c>
      <c r="C31" s="158"/>
      <c r="D31" s="158"/>
      <c r="E31" s="157">
        <f>E27/(E28-E29)</f>
        <v>286456.20284088457</v>
      </c>
    </row>
    <row r="32" spans="2:12" ht="15" thickTop="1" x14ac:dyDescent="0.35"/>
    <row r="34" spans="2:5" x14ac:dyDescent="0.35">
      <c r="B34" s="154" t="s">
        <v>305</v>
      </c>
      <c r="C34" s="154"/>
      <c r="D34" s="154"/>
      <c r="E34" s="154"/>
    </row>
    <row r="35" spans="2:5" x14ac:dyDescent="0.35">
      <c r="B35" t="s">
        <v>297</v>
      </c>
      <c r="E35">
        <f>SUM(H19:L19)</f>
        <v>59314.12203005531</v>
      </c>
    </row>
    <row r="36" spans="2:5" x14ac:dyDescent="0.35">
      <c r="B36" t="s">
        <v>306</v>
      </c>
      <c r="E36" s="84">
        <f>E31*L17</f>
        <v>164931.14901868245</v>
      </c>
    </row>
    <row r="37" spans="2:5" x14ac:dyDescent="0.35">
      <c r="B37" s="36" t="s">
        <v>307</v>
      </c>
      <c r="E37" s="36">
        <f>SUM(E35,E36)</f>
        <v>224245.27104873775</v>
      </c>
    </row>
    <row r="38" spans="2:5" x14ac:dyDescent="0.35">
      <c r="B38" s="36"/>
      <c r="E38" s="36"/>
    </row>
    <row r="39" spans="2:5" x14ac:dyDescent="0.35">
      <c r="B39" s="36" t="s">
        <v>308</v>
      </c>
      <c r="E39" s="84">
        <f>'Data Sheet'!K69</f>
        <v>106502</v>
      </c>
    </row>
    <row r="40" spans="2:5" x14ac:dyDescent="0.35">
      <c r="B40" s="36" t="s">
        <v>309</v>
      </c>
      <c r="E40" s="84">
        <f>'RAW FS'!N7</f>
        <v>236899</v>
      </c>
    </row>
    <row r="41" spans="2:5" x14ac:dyDescent="0.35">
      <c r="B41" s="36"/>
      <c r="E41" s="84"/>
    </row>
    <row r="42" spans="2:5" x14ac:dyDescent="0.35">
      <c r="B42" s="161" t="s">
        <v>310</v>
      </c>
      <c r="E42" s="84">
        <f>E37+E39-E40</f>
        <v>93848.271048737748</v>
      </c>
    </row>
    <row r="43" spans="2:5" x14ac:dyDescent="0.35">
      <c r="B43" s="36" t="s">
        <v>311</v>
      </c>
      <c r="E43" s="162">
        <f>'Data Sheet'!B6</f>
        <v>1353.1556580396477</v>
      </c>
    </row>
    <row r="44" spans="2:5" ht="15" thickBot="1" x14ac:dyDescent="0.4">
      <c r="B44" s="157" t="s">
        <v>312</v>
      </c>
      <c r="C44" s="158"/>
      <c r="D44" s="158"/>
      <c r="E44" s="163">
        <f>E42/E43</f>
        <v>69.355118526938881</v>
      </c>
    </row>
    <row r="45" spans="2:5" ht="15" thickTop="1" x14ac:dyDescent="0.35"/>
    <row r="46" spans="2:5" x14ac:dyDescent="0.35">
      <c r="B46" t="s">
        <v>313</v>
      </c>
      <c r="E46" s="47">
        <v>1465</v>
      </c>
    </row>
    <row r="47" spans="2:5" x14ac:dyDescent="0.35">
      <c r="B47" t="s">
        <v>314</v>
      </c>
      <c r="E47" s="164">
        <f>E46/E44</f>
        <v>21.123170590948746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O51"/>
  <sheetViews>
    <sheetView showGridLines="0" workbookViewId="0">
      <pane ySplit="2" topLeftCell="A3" activePane="bottomLeft" state="frozen"/>
      <selection pane="bottomLeft" activeCell="F16" sqref="F16"/>
    </sheetView>
  </sheetViews>
  <sheetFormatPr defaultRowHeight="14.5" x14ac:dyDescent="0.35"/>
  <cols>
    <col min="1" max="1" width="3.6328125" customWidth="1"/>
    <col min="2" max="2" width="26.08984375" customWidth="1"/>
    <col min="3" max="14" width="11.08984375" customWidth="1"/>
  </cols>
  <sheetData>
    <row r="2" spans="2:15" x14ac:dyDescent="0.35">
      <c r="B2" s="89" t="s">
        <v>342</v>
      </c>
      <c r="C2" s="166">
        <v>41699</v>
      </c>
      <c r="D2" s="166">
        <v>42064</v>
      </c>
      <c r="E2" s="166">
        <v>42430</v>
      </c>
      <c r="F2" s="166">
        <v>42795</v>
      </c>
      <c r="G2" s="166">
        <v>43160</v>
      </c>
      <c r="H2" s="166">
        <v>43525</v>
      </c>
      <c r="I2" s="166">
        <v>43891</v>
      </c>
      <c r="J2" s="166">
        <v>44256</v>
      </c>
      <c r="K2" s="166">
        <v>44621</v>
      </c>
      <c r="L2" s="166">
        <v>44986</v>
      </c>
      <c r="M2" s="166">
        <v>45352</v>
      </c>
      <c r="N2" s="166">
        <v>45717</v>
      </c>
      <c r="O2" s="45"/>
    </row>
    <row r="3" spans="2:15" x14ac:dyDescent="0.35">
      <c r="B3" s="167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9"/>
    </row>
    <row r="4" spans="2:15" x14ac:dyDescent="0.35">
      <c r="B4" s="32" t="s">
        <v>315</v>
      </c>
      <c r="C4" s="174">
        <v>2940</v>
      </c>
      <c r="D4" s="174">
        <v>2943</v>
      </c>
      <c r="E4" s="174">
        <v>2948</v>
      </c>
      <c r="F4" s="174">
        <v>2959</v>
      </c>
      <c r="G4" s="174">
        <v>5922</v>
      </c>
      <c r="H4" s="174">
        <v>5926</v>
      </c>
      <c r="I4" s="174">
        <v>6339</v>
      </c>
      <c r="J4" s="174">
        <v>6445</v>
      </c>
      <c r="K4" s="174">
        <v>6765</v>
      </c>
      <c r="L4" s="174">
        <v>6766</v>
      </c>
      <c r="M4" s="174">
        <v>6766</v>
      </c>
      <c r="N4" s="174">
        <v>13532</v>
      </c>
      <c r="O4" s="47"/>
    </row>
    <row r="5" spans="2:15" x14ac:dyDescent="0.35">
      <c r="B5" s="32" t="s">
        <v>25</v>
      </c>
      <c r="C5" s="174">
        <v>195747</v>
      </c>
      <c r="D5" s="174">
        <v>215556</v>
      </c>
      <c r="E5" s="174">
        <v>228608</v>
      </c>
      <c r="F5" s="174">
        <v>260750</v>
      </c>
      <c r="G5" s="174">
        <v>287584</v>
      </c>
      <c r="H5" s="174">
        <v>381186</v>
      </c>
      <c r="I5" s="174">
        <v>442827</v>
      </c>
      <c r="J5" s="174">
        <v>693727</v>
      </c>
      <c r="K5" s="174">
        <v>772720</v>
      </c>
      <c r="L5" s="174">
        <v>709106</v>
      </c>
      <c r="M5" s="174">
        <v>786715</v>
      </c>
      <c r="N5" s="174">
        <v>829668</v>
      </c>
      <c r="O5" s="47"/>
    </row>
    <row r="6" spans="2:15" x14ac:dyDescent="0.35">
      <c r="B6" s="32" t="s">
        <v>316</v>
      </c>
      <c r="C6" s="174">
        <v>138761</v>
      </c>
      <c r="D6" s="174">
        <v>168251</v>
      </c>
      <c r="E6" s="174">
        <v>194714</v>
      </c>
      <c r="F6" s="174">
        <v>217475</v>
      </c>
      <c r="G6" s="174">
        <v>239843</v>
      </c>
      <c r="H6" s="174">
        <v>307714</v>
      </c>
      <c r="I6" s="174">
        <v>355133</v>
      </c>
      <c r="J6" s="174">
        <v>278962</v>
      </c>
      <c r="K6" s="174">
        <v>319158</v>
      </c>
      <c r="L6" s="174">
        <v>451664</v>
      </c>
      <c r="M6" s="174">
        <v>350719</v>
      </c>
      <c r="N6" s="174">
        <v>374313</v>
      </c>
      <c r="O6" s="47"/>
    </row>
    <row r="7" spans="2:15" x14ac:dyDescent="0.35">
      <c r="B7" t="s">
        <v>317</v>
      </c>
      <c r="C7" s="174">
        <v>101019</v>
      </c>
      <c r="D7" s="174">
        <v>128165</v>
      </c>
      <c r="E7" s="174">
        <v>154957</v>
      </c>
      <c r="F7" s="174">
        <v>172285</v>
      </c>
      <c r="G7" s="174">
        <v>164385</v>
      </c>
      <c r="H7" s="174">
        <v>226345</v>
      </c>
      <c r="I7" s="174">
        <v>216470</v>
      </c>
      <c r="J7" s="174">
        <v>182520</v>
      </c>
      <c r="K7" s="174">
        <v>224883</v>
      </c>
      <c r="L7" s="174">
        <v>296023</v>
      </c>
      <c r="M7" s="174">
        <v>222712</v>
      </c>
      <c r="N7" s="174">
        <v>236899</v>
      </c>
      <c r="O7" s="47"/>
    </row>
    <row r="8" spans="2:15" x14ac:dyDescent="0.35">
      <c r="B8" t="s">
        <v>318</v>
      </c>
      <c r="C8" s="174">
        <v>32792</v>
      </c>
      <c r="D8" s="174">
        <v>27965</v>
      </c>
      <c r="E8" s="174">
        <v>23545</v>
      </c>
      <c r="F8" s="174">
        <v>31528</v>
      </c>
      <c r="G8" s="174">
        <v>37429</v>
      </c>
      <c r="H8" s="174">
        <v>64436</v>
      </c>
      <c r="I8" s="174">
        <v>93786</v>
      </c>
      <c r="J8" s="174">
        <v>88128</v>
      </c>
      <c r="K8" s="174">
        <v>78606</v>
      </c>
      <c r="L8" s="174">
        <v>130790</v>
      </c>
      <c r="M8" s="174">
        <v>101910</v>
      </c>
      <c r="N8" s="174">
        <v>110631</v>
      </c>
      <c r="O8" s="47"/>
    </row>
    <row r="9" spans="2:15" x14ac:dyDescent="0.35">
      <c r="B9" t="s">
        <v>319</v>
      </c>
      <c r="C9" s="174">
        <v>0</v>
      </c>
      <c r="D9" s="174">
        <v>0</v>
      </c>
      <c r="E9" s="174">
        <v>0</v>
      </c>
      <c r="F9" s="174">
        <v>0</v>
      </c>
      <c r="G9" s="174">
        <v>0</v>
      </c>
      <c r="H9" s="174">
        <v>0</v>
      </c>
      <c r="I9" s="174">
        <v>0</v>
      </c>
      <c r="J9" s="174">
        <v>8314</v>
      </c>
      <c r="K9" s="174">
        <v>15669</v>
      </c>
      <c r="L9" s="174">
        <v>20426</v>
      </c>
      <c r="M9" s="174">
        <v>21520</v>
      </c>
      <c r="N9" s="174">
        <v>22045</v>
      </c>
      <c r="O9" s="47"/>
    </row>
    <row r="10" spans="2:15" x14ac:dyDescent="0.35">
      <c r="B10" t="s">
        <v>320</v>
      </c>
      <c r="C10" s="174">
        <v>4950</v>
      </c>
      <c r="D10" s="174">
        <v>12121</v>
      </c>
      <c r="E10" s="174">
        <v>16212</v>
      </c>
      <c r="F10" s="174">
        <v>13662</v>
      </c>
      <c r="G10" s="174">
        <v>38029</v>
      </c>
      <c r="H10" s="174">
        <v>16933</v>
      </c>
      <c r="I10" s="174">
        <v>44877</v>
      </c>
      <c r="J10" s="174">
        <v>0</v>
      </c>
      <c r="K10" s="174">
        <v>0</v>
      </c>
      <c r="L10" s="174">
        <v>4425</v>
      </c>
      <c r="M10" s="174">
        <v>4577</v>
      </c>
      <c r="N10" s="174">
        <v>4738</v>
      </c>
    </row>
    <row r="11" spans="2:15" x14ac:dyDescent="0.35">
      <c r="B11" s="32" t="s">
        <v>343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47"/>
    </row>
    <row r="12" spans="2:15" x14ac:dyDescent="0.35">
      <c r="B12" t="s">
        <v>321</v>
      </c>
      <c r="C12" s="174">
        <v>959</v>
      </c>
      <c r="D12" s="174">
        <v>3038</v>
      </c>
      <c r="E12" s="174">
        <v>3356</v>
      </c>
      <c r="F12" s="174">
        <v>2917</v>
      </c>
      <c r="G12" s="174">
        <v>3539</v>
      </c>
      <c r="H12" s="174">
        <v>8280</v>
      </c>
      <c r="I12" s="174">
        <v>12181</v>
      </c>
      <c r="J12" s="174">
        <v>99260</v>
      </c>
      <c r="K12" s="174">
        <v>109499</v>
      </c>
      <c r="L12" s="174">
        <v>113009</v>
      </c>
      <c r="M12" s="174">
        <v>132307</v>
      </c>
      <c r="N12" s="174">
        <v>166426</v>
      </c>
      <c r="O12" s="47"/>
    </row>
    <row r="13" spans="2:15" x14ac:dyDescent="0.35">
      <c r="B13" t="s">
        <v>322</v>
      </c>
      <c r="C13" s="174">
        <v>60860</v>
      </c>
      <c r="D13" s="174">
        <v>59407</v>
      </c>
      <c r="E13" s="174">
        <v>60296</v>
      </c>
      <c r="F13" s="174">
        <v>76595</v>
      </c>
      <c r="G13" s="174">
        <v>106861</v>
      </c>
      <c r="H13" s="174">
        <v>108309</v>
      </c>
      <c r="I13" s="174">
        <v>96799</v>
      </c>
      <c r="J13" s="174">
        <v>108897</v>
      </c>
      <c r="K13" s="174">
        <v>159330</v>
      </c>
      <c r="L13" s="174">
        <v>147172</v>
      </c>
      <c r="M13" s="174">
        <v>178377</v>
      </c>
      <c r="N13" s="174">
        <v>186789</v>
      </c>
      <c r="O13" s="47"/>
    </row>
    <row r="14" spans="2:15" x14ac:dyDescent="0.35">
      <c r="B14" t="s">
        <v>323</v>
      </c>
      <c r="C14" s="175">
        <v>29576</v>
      </c>
      <c r="D14" s="175">
        <v>55291</v>
      </c>
      <c r="E14" s="175">
        <v>109075</v>
      </c>
      <c r="F14" s="175">
        <v>146106</v>
      </c>
      <c r="G14" s="175">
        <v>167524</v>
      </c>
      <c r="H14" s="175">
        <v>186215</v>
      </c>
      <c r="I14" s="175">
        <v>249736</v>
      </c>
      <c r="J14" s="175">
        <v>132774</v>
      </c>
      <c r="K14" s="175">
        <v>131150</v>
      </c>
      <c r="L14" s="175">
        <v>178165</v>
      </c>
      <c r="M14" s="175">
        <v>300164</v>
      </c>
      <c r="N14" s="175">
        <v>378985</v>
      </c>
      <c r="O14" s="47"/>
    </row>
    <row r="15" spans="2:15" x14ac:dyDescent="0.35">
      <c r="B15" s="69" t="s">
        <v>123</v>
      </c>
      <c r="C15" s="176">
        <v>428843</v>
      </c>
      <c r="D15" s="176">
        <v>504486</v>
      </c>
      <c r="E15" s="176">
        <v>598997</v>
      </c>
      <c r="F15" s="176">
        <v>706802</v>
      </c>
      <c r="G15" s="176">
        <v>811273</v>
      </c>
      <c r="H15" s="176">
        <v>997630</v>
      </c>
      <c r="I15" s="176">
        <v>1163015</v>
      </c>
      <c r="J15" s="176">
        <v>1320065</v>
      </c>
      <c r="K15" s="176">
        <v>1498622</v>
      </c>
      <c r="L15" s="176">
        <v>1605882</v>
      </c>
      <c r="M15" s="176">
        <v>1755048</v>
      </c>
      <c r="N15" s="176">
        <v>1949713</v>
      </c>
      <c r="O15" s="47"/>
    </row>
    <row r="16" spans="2:15" x14ac:dyDescent="0.35">
      <c r="B16" s="32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47"/>
    </row>
    <row r="17" spans="2:15" x14ac:dyDescent="0.35">
      <c r="B17" s="173" t="s">
        <v>344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</row>
    <row r="18" spans="2:15" x14ac:dyDescent="0.35">
      <c r="B18" t="s">
        <v>324</v>
      </c>
      <c r="C18" s="174">
        <v>9378</v>
      </c>
      <c r="D18" s="174">
        <v>9859</v>
      </c>
      <c r="E18" s="174">
        <v>63734</v>
      </c>
      <c r="F18" s="174">
        <v>65973</v>
      </c>
      <c r="G18" s="174">
        <v>66765</v>
      </c>
      <c r="H18" s="174">
        <v>49371</v>
      </c>
      <c r="I18" s="174">
        <v>68743</v>
      </c>
      <c r="J18" s="174">
        <v>68768</v>
      </c>
      <c r="K18" s="174">
        <v>69855</v>
      </c>
      <c r="L18" s="174">
        <v>79697</v>
      </c>
      <c r="M18" s="174">
        <v>87287</v>
      </c>
      <c r="N18" s="174">
        <v>102088</v>
      </c>
    </row>
    <row r="19" spans="2:15" x14ac:dyDescent="0.35">
      <c r="B19" t="s">
        <v>325</v>
      </c>
      <c r="C19" s="174">
        <v>13239</v>
      </c>
      <c r="D19" s="174">
        <v>13967</v>
      </c>
      <c r="E19" s="174">
        <v>15283</v>
      </c>
      <c r="F19" s="174">
        <v>18813</v>
      </c>
      <c r="G19" s="174">
        <v>22194</v>
      </c>
      <c r="H19" s="174">
        <v>27672</v>
      </c>
      <c r="I19" s="174">
        <v>34380</v>
      </c>
      <c r="J19" s="174">
        <v>36781</v>
      </c>
      <c r="K19" s="174">
        <v>47561</v>
      </c>
      <c r="L19" s="174">
        <v>69747</v>
      </c>
      <c r="M19" s="174">
        <v>82062</v>
      </c>
      <c r="N19" s="174">
        <v>106351</v>
      </c>
    </row>
    <row r="20" spans="2:15" x14ac:dyDescent="0.35">
      <c r="B20" t="s">
        <v>326</v>
      </c>
      <c r="C20" s="174">
        <v>147313</v>
      </c>
      <c r="D20" s="174">
        <v>158698</v>
      </c>
      <c r="E20" s="174">
        <v>168888</v>
      </c>
      <c r="F20" s="174">
        <v>179326</v>
      </c>
      <c r="G20" s="174">
        <v>325183</v>
      </c>
      <c r="H20" s="174">
        <v>318853</v>
      </c>
      <c r="I20" s="174">
        <v>449770</v>
      </c>
      <c r="J20" s="174">
        <v>471201</v>
      </c>
      <c r="K20" s="174">
        <v>518865</v>
      </c>
      <c r="L20" s="174">
        <v>557687</v>
      </c>
      <c r="M20" s="174">
        <v>579067</v>
      </c>
      <c r="N20" s="174">
        <v>640511</v>
      </c>
    </row>
    <row r="21" spans="2:15" x14ac:dyDescent="0.35">
      <c r="B21" t="s">
        <v>327</v>
      </c>
      <c r="C21" s="174">
        <v>387</v>
      </c>
      <c r="D21" s="174">
        <v>397</v>
      </c>
      <c r="E21" s="174">
        <v>422</v>
      </c>
      <c r="F21" s="174">
        <v>3484</v>
      </c>
      <c r="G21" s="174">
        <v>5038</v>
      </c>
      <c r="H21" s="174">
        <v>417</v>
      </c>
      <c r="I21" s="174">
        <v>502</v>
      </c>
      <c r="J21" s="174">
        <v>515</v>
      </c>
      <c r="K21" s="174">
        <v>508</v>
      </c>
      <c r="L21" s="174">
        <v>518</v>
      </c>
      <c r="M21" s="174">
        <v>522</v>
      </c>
      <c r="N21" s="174">
        <v>527</v>
      </c>
    </row>
    <row r="22" spans="2:15" x14ac:dyDescent="0.35">
      <c r="B22" t="s">
        <v>328</v>
      </c>
      <c r="C22" s="174">
        <v>0</v>
      </c>
      <c r="D22" s="174">
        <v>0</v>
      </c>
      <c r="E22" s="174">
        <v>0</v>
      </c>
      <c r="F22" s="174">
        <v>0</v>
      </c>
      <c r="G22" s="174">
        <v>0</v>
      </c>
      <c r="H22" s="174">
        <v>0</v>
      </c>
      <c r="I22" s="174">
        <v>0</v>
      </c>
      <c r="J22" s="174">
        <v>0</v>
      </c>
      <c r="K22" s="174">
        <v>32638</v>
      </c>
      <c r="L22" s="174">
        <v>45067</v>
      </c>
      <c r="M22" s="174">
        <v>59936</v>
      </c>
      <c r="N22" s="174">
        <v>63964</v>
      </c>
    </row>
    <row r="23" spans="2:15" x14ac:dyDescent="0.35">
      <c r="B23" t="s">
        <v>329</v>
      </c>
      <c r="C23" s="174">
        <v>10035</v>
      </c>
      <c r="D23" s="174">
        <v>4835</v>
      </c>
      <c r="E23" s="174">
        <v>6282</v>
      </c>
      <c r="F23" s="174">
        <v>7848</v>
      </c>
      <c r="G23" s="174">
        <v>10146</v>
      </c>
      <c r="H23" s="174">
        <v>21817</v>
      </c>
      <c r="I23" s="174">
        <v>31211</v>
      </c>
      <c r="J23" s="174">
        <v>38039</v>
      </c>
      <c r="K23" s="174">
        <v>24970</v>
      </c>
      <c r="L23" s="174">
        <v>38161</v>
      </c>
      <c r="M23" s="174">
        <v>43458</v>
      </c>
      <c r="N23" s="174">
        <v>47640</v>
      </c>
    </row>
    <row r="24" spans="2:15" x14ac:dyDescent="0.35">
      <c r="B24" t="s">
        <v>330</v>
      </c>
      <c r="C24" s="174">
        <v>582</v>
      </c>
      <c r="D24" s="174">
        <v>710</v>
      </c>
      <c r="E24" s="174">
        <v>777</v>
      </c>
      <c r="F24" s="174">
        <v>1155</v>
      </c>
      <c r="G24" s="174">
        <v>1199</v>
      </c>
      <c r="H24" s="174">
        <v>1240</v>
      </c>
      <c r="I24" s="174">
        <v>1411</v>
      </c>
      <c r="J24" s="174">
        <v>2336</v>
      </c>
      <c r="K24" s="174">
        <v>2530</v>
      </c>
      <c r="L24" s="174">
        <v>3667</v>
      </c>
      <c r="M24" s="174">
        <v>3745</v>
      </c>
      <c r="N24" s="174">
        <v>4178</v>
      </c>
    </row>
    <row r="25" spans="2:15" x14ac:dyDescent="0.35">
      <c r="B25" t="s">
        <v>331</v>
      </c>
      <c r="C25" s="174">
        <v>70668</v>
      </c>
      <c r="D25" s="174">
        <v>88103</v>
      </c>
      <c r="E25" s="174">
        <v>68660</v>
      </c>
      <c r="F25" s="174">
        <v>75351</v>
      </c>
      <c r="G25" s="174">
        <v>76599</v>
      </c>
      <c r="H25" s="174">
        <v>86765</v>
      </c>
      <c r="I25" s="174">
        <v>81462</v>
      </c>
      <c r="J25" s="174">
        <v>77353</v>
      </c>
      <c r="K25" s="174">
        <v>65970</v>
      </c>
      <c r="L25" s="174">
        <v>85032</v>
      </c>
      <c r="M25" s="174">
        <v>112873</v>
      </c>
      <c r="N25" s="174">
        <v>160656</v>
      </c>
      <c r="O25" s="47"/>
    </row>
    <row r="26" spans="2:15" x14ac:dyDescent="0.35">
      <c r="B26" t="s">
        <v>332</v>
      </c>
      <c r="C26" s="174">
        <v>9417</v>
      </c>
      <c r="D26" s="174">
        <v>12297</v>
      </c>
      <c r="E26" s="174">
        <v>11453</v>
      </c>
      <c r="F26" s="174">
        <v>9343</v>
      </c>
      <c r="G26" s="174">
        <v>74160</v>
      </c>
      <c r="H26" s="174">
        <v>90387</v>
      </c>
      <c r="I26" s="174">
        <v>76299</v>
      </c>
      <c r="J26" s="174">
        <v>80819</v>
      </c>
      <c r="K26" s="174">
        <v>120717</v>
      </c>
      <c r="L26" s="174">
        <v>138426</v>
      </c>
      <c r="M26" s="174">
        <v>145632</v>
      </c>
      <c r="N26" s="174">
        <v>249903</v>
      </c>
    </row>
    <row r="27" spans="2:15" x14ac:dyDescent="0.35">
      <c r="B27" s="32" t="s">
        <v>333</v>
      </c>
      <c r="C27" s="174">
        <v>261019</v>
      </c>
      <c r="D27" s="174">
        <v>288866</v>
      </c>
      <c r="E27" s="174">
        <v>335499</v>
      </c>
      <c r="F27" s="174">
        <v>361293</v>
      </c>
      <c r="G27" s="174">
        <v>581284</v>
      </c>
      <c r="H27" s="174">
        <v>596522</v>
      </c>
      <c r="I27" s="174">
        <v>743778</v>
      </c>
      <c r="J27" s="174">
        <v>775812</v>
      </c>
      <c r="K27" s="174">
        <v>883614</v>
      </c>
      <c r="L27" s="174">
        <v>1018002</v>
      </c>
      <c r="M27" s="174">
        <v>1114582</v>
      </c>
      <c r="N27" s="174">
        <v>1375818</v>
      </c>
    </row>
    <row r="28" spans="2:15" ht="15" thickBot="1" x14ac:dyDescent="0.4">
      <c r="B28" s="32" t="s">
        <v>334</v>
      </c>
      <c r="C28" s="175">
        <v>119602</v>
      </c>
      <c r="D28" s="175">
        <v>132408</v>
      </c>
      <c r="E28" s="175">
        <v>150589</v>
      </c>
      <c r="F28" s="175">
        <v>162767</v>
      </c>
      <c r="G28" s="175">
        <v>177399</v>
      </c>
      <c r="H28" s="175">
        <v>198148</v>
      </c>
      <c r="I28" s="175">
        <v>211120</v>
      </c>
      <c r="J28" s="175">
        <v>234554</v>
      </c>
      <c r="K28" s="175">
        <v>255816</v>
      </c>
      <c r="L28" s="175">
        <v>293197</v>
      </c>
      <c r="M28" s="175">
        <v>334597</v>
      </c>
      <c r="N28" s="175">
        <v>376425</v>
      </c>
    </row>
    <row r="29" spans="2:15" x14ac:dyDescent="0.35">
      <c r="B29" s="177" t="s">
        <v>27</v>
      </c>
      <c r="C29" s="178">
        <f>C27-C28</f>
        <v>141417</v>
      </c>
      <c r="D29" s="178">
        <f t="shared" ref="D29:N29" si="0">D27-D28</f>
        <v>156458</v>
      </c>
      <c r="E29" s="178">
        <f t="shared" si="0"/>
        <v>184910</v>
      </c>
      <c r="F29" s="178">
        <f t="shared" si="0"/>
        <v>198526</v>
      </c>
      <c r="G29" s="178">
        <f t="shared" si="0"/>
        <v>403885</v>
      </c>
      <c r="H29" s="178">
        <f t="shared" si="0"/>
        <v>398374</v>
      </c>
      <c r="I29" s="178">
        <f t="shared" si="0"/>
        <v>532658</v>
      </c>
      <c r="J29" s="178">
        <f t="shared" si="0"/>
        <v>541258</v>
      </c>
      <c r="K29" s="178">
        <f t="shared" si="0"/>
        <v>627798</v>
      </c>
      <c r="L29" s="178">
        <f t="shared" si="0"/>
        <v>724805</v>
      </c>
      <c r="M29" s="178">
        <f t="shared" si="0"/>
        <v>779985</v>
      </c>
      <c r="N29" s="178">
        <f t="shared" si="0"/>
        <v>999393</v>
      </c>
    </row>
    <row r="30" spans="2:15" x14ac:dyDescent="0.35">
      <c r="B30" s="8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</row>
    <row r="31" spans="2:15" x14ac:dyDescent="0.35">
      <c r="B31" s="32" t="s">
        <v>335</v>
      </c>
      <c r="C31" s="174">
        <v>91494</v>
      </c>
      <c r="D31" s="174">
        <v>166462</v>
      </c>
      <c r="E31" s="174">
        <v>228697</v>
      </c>
      <c r="F31" s="174">
        <v>324837</v>
      </c>
      <c r="G31" s="174">
        <v>187022</v>
      </c>
      <c r="H31" s="174">
        <v>179463</v>
      </c>
      <c r="I31" s="174">
        <v>109106</v>
      </c>
      <c r="J31" s="174">
        <v>125953</v>
      </c>
      <c r="K31" s="174">
        <v>172506</v>
      </c>
      <c r="L31" s="174">
        <v>293752</v>
      </c>
      <c r="M31" s="174">
        <v>338855</v>
      </c>
      <c r="N31" s="174">
        <v>262358</v>
      </c>
      <c r="O31" s="47"/>
    </row>
    <row r="32" spans="2:15" x14ac:dyDescent="0.35">
      <c r="B32" s="32" t="s">
        <v>29</v>
      </c>
      <c r="C32" s="174">
        <v>60602</v>
      </c>
      <c r="D32" s="174">
        <v>76451</v>
      </c>
      <c r="E32" s="174">
        <v>84015</v>
      </c>
      <c r="F32" s="174">
        <v>82899</v>
      </c>
      <c r="G32" s="174">
        <v>82862</v>
      </c>
      <c r="H32" s="174">
        <v>235635</v>
      </c>
      <c r="I32" s="174">
        <v>276767</v>
      </c>
      <c r="J32" s="174">
        <v>364828</v>
      </c>
      <c r="K32" s="174">
        <v>394264</v>
      </c>
      <c r="L32" s="174">
        <v>235560</v>
      </c>
      <c r="M32" s="174">
        <v>225672</v>
      </c>
      <c r="N32" s="174">
        <v>242381</v>
      </c>
      <c r="O32" s="47"/>
    </row>
    <row r="33" spans="2:15" x14ac:dyDescent="0.35">
      <c r="B33" s="32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47"/>
    </row>
    <row r="34" spans="2:15" x14ac:dyDescent="0.35">
      <c r="B34" s="32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47"/>
    </row>
    <row r="35" spans="2:15" x14ac:dyDescent="0.35">
      <c r="B35" s="32" t="s">
        <v>336</v>
      </c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47"/>
    </row>
    <row r="36" spans="2:15" x14ac:dyDescent="0.35">
      <c r="B36" t="s">
        <v>337</v>
      </c>
      <c r="C36" s="174">
        <v>56720</v>
      </c>
      <c r="D36" s="174">
        <v>53248</v>
      </c>
      <c r="E36" s="174">
        <v>46486</v>
      </c>
      <c r="F36" s="174">
        <v>48951</v>
      </c>
      <c r="G36" s="174">
        <v>60837</v>
      </c>
      <c r="H36" s="174">
        <v>67561</v>
      </c>
      <c r="I36" s="174">
        <v>73903</v>
      </c>
      <c r="J36" s="174">
        <v>81672</v>
      </c>
      <c r="K36" s="174">
        <v>107778</v>
      </c>
      <c r="L36" s="174">
        <v>140008</v>
      </c>
      <c r="M36" s="174">
        <v>152770</v>
      </c>
      <c r="N36" s="174">
        <v>146062</v>
      </c>
      <c r="O36" s="47"/>
    </row>
    <row r="37" spans="2:15" x14ac:dyDescent="0.35">
      <c r="B37" t="s">
        <v>338</v>
      </c>
      <c r="C37" s="174">
        <v>9411</v>
      </c>
      <c r="D37" s="174">
        <v>5315</v>
      </c>
      <c r="E37" s="174">
        <v>4465</v>
      </c>
      <c r="F37" s="174">
        <v>8177</v>
      </c>
      <c r="G37" s="174">
        <v>17555</v>
      </c>
      <c r="H37" s="174">
        <v>30089</v>
      </c>
      <c r="I37" s="174">
        <v>19656</v>
      </c>
      <c r="J37" s="174">
        <v>19014</v>
      </c>
      <c r="K37" s="174">
        <v>23640</v>
      </c>
      <c r="L37" s="174">
        <v>28448</v>
      </c>
      <c r="M37" s="174">
        <v>31628</v>
      </c>
      <c r="N37" s="174">
        <v>42121</v>
      </c>
      <c r="O37" s="47"/>
    </row>
    <row r="38" spans="2:15" x14ac:dyDescent="0.35">
      <c r="B38" t="s">
        <v>339</v>
      </c>
      <c r="C38" s="174">
        <v>37984</v>
      </c>
      <c r="D38" s="174">
        <v>12545</v>
      </c>
      <c r="E38" s="174">
        <v>11028</v>
      </c>
      <c r="F38" s="174">
        <v>3023</v>
      </c>
      <c r="G38" s="174">
        <v>4255</v>
      </c>
      <c r="H38" s="174">
        <v>11081</v>
      </c>
      <c r="I38" s="174">
        <v>30920</v>
      </c>
      <c r="J38" s="174">
        <v>17397</v>
      </c>
      <c r="K38" s="174">
        <v>36178</v>
      </c>
      <c r="L38" s="174">
        <v>68664</v>
      </c>
      <c r="M38" s="174">
        <v>97225</v>
      </c>
      <c r="N38" s="174">
        <v>106502</v>
      </c>
      <c r="O38" s="47"/>
    </row>
    <row r="39" spans="2:15" x14ac:dyDescent="0.35">
      <c r="B39" t="s">
        <v>340</v>
      </c>
      <c r="C39" s="174">
        <v>0</v>
      </c>
      <c r="D39" s="174">
        <v>0</v>
      </c>
      <c r="E39" s="174">
        <v>841</v>
      </c>
      <c r="F39" s="174">
        <v>996</v>
      </c>
      <c r="G39" s="174">
        <v>2327</v>
      </c>
      <c r="H39" s="174">
        <v>545</v>
      </c>
      <c r="I39" s="174">
        <v>669</v>
      </c>
      <c r="J39" s="174">
        <v>65</v>
      </c>
      <c r="K39" s="174">
        <v>130</v>
      </c>
      <c r="L39" s="174">
        <v>176</v>
      </c>
      <c r="M39" s="174">
        <v>2517</v>
      </c>
      <c r="N39" s="174">
        <v>5182</v>
      </c>
      <c r="O39" s="47"/>
    </row>
    <row r="40" spans="2:15" x14ac:dyDescent="0.35">
      <c r="B40" t="s">
        <v>341</v>
      </c>
      <c r="C40" s="175">
        <v>31215</v>
      </c>
      <c r="D40" s="175">
        <v>34007</v>
      </c>
      <c r="E40" s="175">
        <v>38555</v>
      </c>
      <c r="F40" s="175">
        <v>39393</v>
      </c>
      <c r="G40" s="175">
        <v>52530</v>
      </c>
      <c r="H40" s="175">
        <v>74882</v>
      </c>
      <c r="I40" s="175">
        <v>119336</v>
      </c>
      <c r="J40" s="175">
        <v>169878</v>
      </c>
      <c r="K40" s="175">
        <v>136328</v>
      </c>
      <c r="L40" s="175">
        <v>114469</v>
      </c>
      <c r="M40" s="175">
        <v>126396</v>
      </c>
      <c r="N40" s="175">
        <v>145714</v>
      </c>
      <c r="O40" s="47"/>
    </row>
    <row r="41" spans="2:15" x14ac:dyDescent="0.35">
      <c r="B41" s="69" t="s">
        <v>128</v>
      </c>
      <c r="C41" s="176">
        <v>428843</v>
      </c>
      <c r="D41" s="176">
        <v>504486</v>
      </c>
      <c r="E41" s="176">
        <v>598997</v>
      </c>
      <c r="F41" s="176">
        <v>706802</v>
      </c>
      <c r="G41" s="176">
        <v>811273</v>
      </c>
      <c r="H41" s="176">
        <v>997630</v>
      </c>
      <c r="I41" s="176">
        <v>1163015</v>
      </c>
      <c r="J41" s="176">
        <v>1320065</v>
      </c>
      <c r="K41" s="176">
        <v>1498622</v>
      </c>
      <c r="L41" s="176">
        <v>1605882</v>
      </c>
      <c r="M41" s="176">
        <v>1755048</v>
      </c>
      <c r="N41" s="176">
        <v>1949713</v>
      </c>
      <c r="O41" s="47"/>
    </row>
    <row r="42" spans="2:15" x14ac:dyDescent="0.35"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</row>
    <row r="43" spans="2:15" x14ac:dyDescent="0.35"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</row>
    <row r="44" spans="2:15" x14ac:dyDescent="0.35"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</row>
    <row r="45" spans="2:15" x14ac:dyDescent="0.35"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</row>
    <row r="46" spans="2:15" x14ac:dyDescent="0.35">
      <c r="J46" s="47"/>
      <c r="K46" s="47"/>
      <c r="L46" s="47"/>
      <c r="M46" s="47"/>
      <c r="N46" s="47"/>
    </row>
    <row r="47" spans="2:15" x14ac:dyDescent="0.35">
      <c r="C47" s="47"/>
      <c r="D47" s="47"/>
      <c r="E47" s="47"/>
      <c r="F47" s="47"/>
      <c r="G47" s="47"/>
      <c r="H47" s="47"/>
      <c r="I47" s="47"/>
      <c r="L47" s="47"/>
      <c r="M47" s="47"/>
      <c r="N47" s="47"/>
    </row>
    <row r="48" spans="2:15" x14ac:dyDescent="0.35"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  <row r="49" spans="3:14" x14ac:dyDescent="0.35"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</row>
    <row r="50" spans="3:14" x14ac:dyDescent="0.35"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</row>
    <row r="51" spans="3:14" x14ac:dyDescent="0.35"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C3:Y112"/>
  <sheetViews>
    <sheetView showGridLines="0" workbookViewId="0">
      <selection activeCell="J27" sqref="J27"/>
    </sheetView>
  </sheetViews>
  <sheetFormatPr defaultRowHeight="14.5" x14ac:dyDescent="0.35"/>
  <cols>
    <col min="1" max="1" width="5" customWidth="1"/>
    <col min="3" max="3" width="18.1796875" bestFit="1" customWidth="1"/>
    <col min="4" max="4" width="11.7265625" bestFit="1" customWidth="1"/>
    <col min="5" max="5" width="14.26953125" bestFit="1" customWidth="1"/>
    <col min="7" max="7" width="11.7265625" bestFit="1" customWidth="1"/>
    <col min="8" max="8" width="14.26953125" bestFit="1" customWidth="1"/>
    <col min="11" max="11" width="17.54296875" bestFit="1" customWidth="1"/>
    <col min="13" max="13" width="11.81640625" bestFit="1" customWidth="1"/>
    <col min="16" max="16" width="6.453125" bestFit="1" customWidth="1"/>
    <col min="17" max="17" width="17.26953125" bestFit="1" customWidth="1"/>
    <col min="18" max="18" width="12.453125" bestFit="1" customWidth="1"/>
    <col min="19" max="19" width="13.54296875" bestFit="1" customWidth="1"/>
    <col min="20" max="20" width="12.453125" bestFit="1" customWidth="1"/>
    <col min="21" max="21" width="11.81640625" bestFit="1" customWidth="1"/>
    <col min="22" max="22" width="12.453125" bestFit="1" customWidth="1"/>
    <col min="23" max="23" width="11.81640625" bestFit="1" customWidth="1"/>
    <col min="24" max="24" width="12.453125" bestFit="1" customWidth="1"/>
    <col min="25" max="25" width="12" bestFit="1" customWidth="1"/>
  </cols>
  <sheetData>
    <row r="3" spans="3:18" x14ac:dyDescent="0.35">
      <c r="C3" s="137" t="s">
        <v>250</v>
      </c>
    </row>
    <row r="5" spans="3:18" x14ac:dyDescent="0.35">
      <c r="C5" s="210" t="s">
        <v>251</v>
      </c>
      <c r="D5" s="210"/>
      <c r="E5" s="210"/>
      <c r="G5" s="210" t="s">
        <v>252</v>
      </c>
      <c r="H5" s="210"/>
      <c r="I5" s="210"/>
      <c r="K5" s="210" t="s">
        <v>253</v>
      </c>
      <c r="L5" s="210"/>
      <c r="M5" s="210"/>
    </row>
    <row r="6" spans="3:18" x14ac:dyDescent="0.35">
      <c r="K6" s="140"/>
    </row>
    <row r="7" spans="3:18" x14ac:dyDescent="0.35">
      <c r="C7" s="141" t="s">
        <v>254</v>
      </c>
      <c r="D7" s="142" t="s">
        <v>255</v>
      </c>
      <c r="E7" s="142" t="s">
        <v>256</v>
      </c>
      <c r="G7" s="142" t="s">
        <v>255</v>
      </c>
      <c r="H7" s="142" t="s">
        <v>256</v>
      </c>
      <c r="K7" t="s">
        <v>257</v>
      </c>
      <c r="M7" s="84">
        <f>Q12</f>
        <v>1.2681188370272609</v>
      </c>
    </row>
    <row r="8" spans="3:18" x14ac:dyDescent="0.35">
      <c r="C8" s="143">
        <v>44641</v>
      </c>
      <c r="D8" s="144">
        <v>4001.3000489999999</v>
      </c>
      <c r="G8" s="144">
        <v>17153</v>
      </c>
      <c r="K8" t="s">
        <v>258</v>
      </c>
      <c r="M8" s="145">
        <v>0.75</v>
      </c>
    </row>
    <row r="9" spans="3:18" x14ac:dyDescent="0.35">
      <c r="C9" s="143">
        <v>44648</v>
      </c>
      <c r="D9" s="144">
        <v>4082.1999510000001</v>
      </c>
      <c r="E9" s="146">
        <f t="shared" ref="E9:E72" si="0">D9/D8-1</f>
        <v>2.0218404270936574E-2</v>
      </c>
      <c r="G9" s="144">
        <v>17670.449218999998</v>
      </c>
      <c r="H9" s="146">
        <f t="shared" ref="H9:H72" si="1">G9/G8-1</f>
        <v>3.0166689150585846E-2</v>
      </c>
    </row>
    <row r="10" spans="3:18" x14ac:dyDescent="0.35">
      <c r="C10" s="143">
        <v>44655</v>
      </c>
      <c r="D10" s="144">
        <v>4146.25</v>
      </c>
      <c r="E10" s="146">
        <f t="shared" si="0"/>
        <v>1.5690081272062617E-2</v>
      </c>
      <c r="G10" s="144">
        <v>17784.349609000001</v>
      </c>
      <c r="H10" s="146">
        <f t="shared" si="1"/>
        <v>6.4458117950692007E-3</v>
      </c>
      <c r="K10" t="s">
        <v>259</v>
      </c>
      <c r="M10" s="84">
        <v>1</v>
      </c>
    </row>
    <row r="11" spans="3:18" x14ac:dyDescent="0.35">
      <c r="C11" s="143">
        <v>44662</v>
      </c>
      <c r="D11" s="144">
        <v>4090.8999020000001</v>
      </c>
      <c r="E11" s="146">
        <f t="shared" si="0"/>
        <v>-1.3349435755200423E-2</v>
      </c>
      <c r="G11" s="144">
        <v>17475.650390999999</v>
      </c>
      <c r="H11" s="146">
        <f t="shared" si="1"/>
        <v>-1.7357914390289553E-2</v>
      </c>
      <c r="K11" t="s">
        <v>260</v>
      </c>
      <c r="M11" s="145">
        <v>0.25</v>
      </c>
      <c r="P11" t="s">
        <v>261</v>
      </c>
      <c r="Q11" s="84">
        <f>SLOPE(E9:E112,H9:H112)</f>
        <v>1.2681188370272602</v>
      </c>
    </row>
    <row r="12" spans="3:18" x14ac:dyDescent="0.35">
      <c r="C12" s="143">
        <v>44669</v>
      </c>
      <c r="D12" s="144">
        <v>4028.8500979999999</v>
      </c>
      <c r="E12" s="146">
        <f t="shared" si="0"/>
        <v>-1.5167763936161038E-2</v>
      </c>
      <c r="G12" s="144">
        <v>17171.949218999998</v>
      </c>
      <c r="H12" s="146">
        <f t="shared" si="1"/>
        <v>-1.7378533285170805E-2</v>
      </c>
      <c r="P12" t="s">
        <v>262</v>
      </c>
      <c r="Q12" s="84">
        <f>_xlfn.COVARIANCE.S(E9:E112,H9:H112)/_xlfn.VAR.S(H9:H112)</f>
        <v>1.2681188370272609</v>
      </c>
    </row>
    <row r="13" spans="3:18" x14ac:dyDescent="0.35">
      <c r="C13" s="143">
        <v>44676</v>
      </c>
      <c r="D13" s="144">
        <v>3944.25</v>
      </c>
      <c r="E13" s="146">
        <f t="shared" si="0"/>
        <v>-2.0998571786524645E-2</v>
      </c>
      <c r="G13" s="144">
        <v>17102.550781000002</v>
      </c>
      <c r="H13" s="146">
        <f t="shared" si="1"/>
        <v>-4.041383835634127E-3</v>
      </c>
      <c r="K13" s="147" t="s">
        <v>263</v>
      </c>
      <c r="L13" s="147"/>
      <c r="M13" s="147">
        <f>((M7*M8)+M10*M11)</f>
        <v>1.2010891277704456</v>
      </c>
    </row>
    <row r="14" spans="3:18" x14ac:dyDescent="0.35">
      <c r="C14" s="143">
        <v>44683</v>
      </c>
      <c r="D14" s="144">
        <v>3666.1999510000001</v>
      </c>
      <c r="E14" s="146">
        <f t="shared" si="0"/>
        <v>-7.0495036825758972E-2</v>
      </c>
      <c r="G14" s="144">
        <v>16411.25</v>
      </c>
      <c r="H14" s="146">
        <f t="shared" si="1"/>
        <v>-4.0420916730619982E-2</v>
      </c>
      <c r="P14" t="s">
        <v>264</v>
      </c>
      <c r="Q14" t="s">
        <v>265</v>
      </c>
    </row>
    <row r="15" spans="3:18" ht="15" thickBot="1" x14ac:dyDescent="0.4">
      <c r="C15" s="143">
        <v>44690</v>
      </c>
      <c r="D15" s="144">
        <v>3230.6000979999999</v>
      </c>
      <c r="E15" s="146">
        <f t="shared" si="0"/>
        <v>-0.11881508341660008</v>
      </c>
      <c r="G15" s="144">
        <v>15782.150390999999</v>
      </c>
      <c r="H15" s="146">
        <f t="shared" si="1"/>
        <v>-3.8333436453652281E-2</v>
      </c>
    </row>
    <row r="16" spans="3:18" x14ac:dyDescent="0.35">
      <c r="C16" s="143">
        <v>44697</v>
      </c>
      <c r="D16" s="144">
        <v>3630.3999020000001</v>
      </c>
      <c r="E16" s="146">
        <f t="shared" si="0"/>
        <v>0.12375403698139809</v>
      </c>
      <c r="G16" s="144">
        <v>16266.150390999999</v>
      </c>
      <c r="H16" s="146">
        <f t="shared" si="1"/>
        <v>3.0667557209187901E-2</v>
      </c>
      <c r="Q16" s="148" t="s">
        <v>266</v>
      </c>
      <c r="R16" s="148"/>
    </row>
    <row r="17" spans="3:25" x14ac:dyDescent="0.35">
      <c r="C17" s="143">
        <v>44704</v>
      </c>
      <c r="D17" s="144">
        <v>3613.8500979999999</v>
      </c>
      <c r="E17" s="146">
        <f t="shared" si="0"/>
        <v>-4.5586724456672112E-3</v>
      </c>
      <c r="G17" s="144">
        <v>16352.450194999999</v>
      </c>
      <c r="H17" s="146">
        <f t="shared" si="1"/>
        <v>5.3054842064996777E-3</v>
      </c>
      <c r="Q17" s="149" t="s">
        <v>267</v>
      </c>
      <c r="R17" s="149">
        <v>0.54371854727025604</v>
      </c>
    </row>
    <row r="18" spans="3:25" x14ac:dyDescent="0.35">
      <c r="C18" s="143">
        <v>44711</v>
      </c>
      <c r="D18" s="144">
        <v>3820.1000979999999</v>
      </c>
      <c r="E18" s="146">
        <f t="shared" si="0"/>
        <v>5.7072096076742129E-2</v>
      </c>
      <c r="G18" s="144">
        <v>16584.300781000002</v>
      </c>
      <c r="H18" s="146">
        <f t="shared" si="1"/>
        <v>1.4178339223494207E-2</v>
      </c>
      <c r="Q18" s="149" t="s">
        <v>268</v>
      </c>
      <c r="R18" s="149">
        <v>0.2956298586456777</v>
      </c>
    </row>
    <row r="19" spans="3:25" x14ac:dyDescent="0.35">
      <c r="C19" s="143">
        <v>44718</v>
      </c>
      <c r="D19" s="144">
        <v>3755.6499020000001</v>
      </c>
      <c r="E19" s="146">
        <f t="shared" si="0"/>
        <v>-1.6871336966730932E-2</v>
      </c>
      <c r="G19" s="144">
        <v>16201.799805000001</v>
      </c>
      <c r="H19" s="146">
        <f t="shared" si="1"/>
        <v>-2.3064039964724836E-2</v>
      </c>
      <c r="Q19" s="149" t="s">
        <v>269</v>
      </c>
      <c r="R19" s="149">
        <v>0.28872426902455689</v>
      </c>
    </row>
    <row r="20" spans="3:25" x14ac:dyDescent="0.35">
      <c r="C20" s="143">
        <v>44725</v>
      </c>
      <c r="D20" s="144">
        <v>3460.5500489999999</v>
      </c>
      <c r="E20" s="146">
        <f t="shared" si="0"/>
        <v>-7.857490998904082E-2</v>
      </c>
      <c r="G20" s="144">
        <v>15293.5</v>
      </c>
      <c r="H20" s="146">
        <f t="shared" si="1"/>
        <v>-5.606166079892505E-2</v>
      </c>
      <c r="Q20" s="149" t="s">
        <v>270</v>
      </c>
      <c r="R20" s="149">
        <v>3.3739445168231533E-2</v>
      </c>
    </row>
    <row r="21" spans="3:25" ht="15" thickBot="1" x14ac:dyDescent="0.4">
      <c r="C21" s="143">
        <v>44732</v>
      </c>
      <c r="D21" s="144">
        <v>3412</v>
      </c>
      <c r="E21" s="146">
        <f t="shared" si="0"/>
        <v>-1.4029575735808097E-2</v>
      </c>
      <c r="G21" s="144">
        <v>15699.25</v>
      </c>
      <c r="H21" s="146">
        <f t="shared" si="1"/>
        <v>2.6530879131657192E-2</v>
      </c>
      <c r="Q21" s="150" t="s">
        <v>271</v>
      </c>
      <c r="R21" s="150">
        <v>104</v>
      </c>
    </row>
    <row r="22" spans="3:25" x14ac:dyDescent="0.35">
      <c r="C22" s="143">
        <v>44739</v>
      </c>
      <c r="D22" s="144">
        <v>3388.75</v>
      </c>
      <c r="E22" s="146">
        <f t="shared" si="0"/>
        <v>-6.8141852286048854E-3</v>
      </c>
      <c r="G22" s="144">
        <v>15752.049805000001</v>
      </c>
      <c r="H22" s="146">
        <f t="shared" si="1"/>
        <v>3.3632055671448668E-3</v>
      </c>
    </row>
    <row r="23" spans="3:25" ht="15" thickBot="1" x14ac:dyDescent="0.4">
      <c r="C23" s="143">
        <v>44746</v>
      </c>
      <c r="D23" s="144">
        <v>3941.6999510000001</v>
      </c>
      <c r="E23" s="146">
        <f t="shared" si="0"/>
        <v>0.16317224669863517</v>
      </c>
      <c r="G23" s="144">
        <v>16220.599609000001</v>
      </c>
      <c r="H23" s="146">
        <f t="shared" si="1"/>
        <v>2.9745322659611828E-2</v>
      </c>
      <c r="P23" s="11"/>
      <c r="Q23" t="s">
        <v>272</v>
      </c>
    </row>
    <row r="24" spans="3:25" x14ac:dyDescent="0.35">
      <c r="C24" s="143">
        <v>44753</v>
      </c>
      <c r="D24" s="144">
        <v>3926.8000489999999</v>
      </c>
      <c r="E24" s="146">
        <f t="shared" si="0"/>
        <v>-3.7800700675403309E-3</v>
      </c>
      <c r="G24" s="144">
        <v>16049.200194999999</v>
      </c>
      <c r="H24" s="146">
        <f t="shared" si="1"/>
        <v>-1.0566774233481513E-2</v>
      </c>
      <c r="P24" s="11"/>
      <c r="Q24" s="151"/>
      <c r="R24" s="151" t="s">
        <v>273</v>
      </c>
      <c r="S24" s="151" t="s">
        <v>274</v>
      </c>
      <c r="T24" s="151" t="s">
        <v>275</v>
      </c>
      <c r="U24" s="151" t="s">
        <v>276</v>
      </c>
      <c r="V24" s="151" t="s">
        <v>277</v>
      </c>
    </row>
    <row r="25" spans="3:25" x14ac:dyDescent="0.35">
      <c r="C25" s="143">
        <v>44760</v>
      </c>
      <c r="D25" s="144">
        <v>3963.3999020000001</v>
      </c>
      <c r="E25" s="146">
        <f t="shared" si="0"/>
        <v>9.3205288131033015E-3</v>
      </c>
      <c r="G25" s="144">
        <v>16719.449218999998</v>
      </c>
      <c r="H25" s="146">
        <f t="shared" si="1"/>
        <v>4.1762144895470144E-2</v>
      </c>
      <c r="P25" s="11"/>
      <c r="Q25" s="149" t="s">
        <v>278</v>
      </c>
      <c r="R25" s="149">
        <v>1</v>
      </c>
      <c r="S25" s="149">
        <v>4.8733028666762601E-2</v>
      </c>
      <c r="T25" s="149">
        <v>4.8733028666762601E-2</v>
      </c>
      <c r="U25" s="149">
        <v>42.810226912629041</v>
      </c>
      <c r="V25" s="149">
        <v>2.4524721173639345E-9</v>
      </c>
    </row>
    <row r="26" spans="3:25" x14ac:dyDescent="0.35">
      <c r="C26" s="143">
        <v>44767</v>
      </c>
      <c r="D26" s="144">
        <v>4243.8500979999999</v>
      </c>
      <c r="E26" s="146">
        <f t="shared" si="0"/>
        <v>7.0760004777332686E-2</v>
      </c>
      <c r="G26" s="144">
        <v>17158.25</v>
      </c>
      <c r="H26" s="146">
        <f t="shared" si="1"/>
        <v>2.6244930395275645E-2</v>
      </c>
      <c r="P26" s="152"/>
      <c r="Q26" s="149" t="s">
        <v>279</v>
      </c>
      <c r="R26" s="149">
        <v>102</v>
      </c>
      <c r="S26" s="149">
        <v>0.11611171634653042</v>
      </c>
      <c r="T26" s="149">
        <v>1.1383501602601021E-3</v>
      </c>
      <c r="U26" s="149"/>
      <c r="V26" s="149"/>
    </row>
    <row r="27" spans="3:25" ht="15" thickBot="1" x14ac:dyDescent="0.4">
      <c r="C27" s="143">
        <v>44774</v>
      </c>
      <c r="D27" s="144">
        <v>4232.25</v>
      </c>
      <c r="E27" s="146">
        <f t="shared" si="0"/>
        <v>-2.7333901368162827E-3</v>
      </c>
      <c r="G27" s="144">
        <v>17397.5</v>
      </c>
      <c r="H27" s="146">
        <f t="shared" si="1"/>
        <v>1.3943729692713402E-2</v>
      </c>
      <c r="P27" s="11"/>
      <c r="Q27" s="150" t="s">
        <v>26</v>
      </c>
      <c r="R27" s="150">
        <v>103</v>
      </c>
      <c r="S27" s="150">
        <v>0.16484474501329302</v>
      </c>
      <c r="T27" s="150"/>
      <c r="U27" s="150"/>
      <c r="V27" s="150"/>
    </row>
    <row r="28" spans="3:25" ht="15" thickBot="1" x14ac:dyDescent="0.4">
      <c r="C28" s="143">
        <v>44781</v>
      </c>
      <c r="D28" s="144">
        <v>4336.7001950000003</v>
      </c>
      <c r="E28" s="146">
        <f t="shared" si="0"/>
        <v>2.4679590052572697E-2</v>
      </c>
      <c r="G28" s="144">
        <v>17698.150390999999</v>
      </c>
      <c r="H28" s="146">
        <f t="shared" si="1"/>
        <v>1.7281241040379314E-2</v>
      </c>
      <c r="P28" s="11"/>
    </row>
    <row r="29" spans="3:25" x14ac:dyDescent="0.35">
      <c r="C29" s="143">
        <v>44788</v>
      </c>
      <c r="D29" s="144">
        <v>4382</v>
      </c>
      <c r="E29" s="146">
        <f t="shared" si="0"/>
        <v>1.0445685189911957E-2</v>
      </c>
      <c r="G29" s="144">
        <v>17758.449218999998</v>
      </c>
      <c r="H29" s="146">
        <f t="shared" si="1"/>
        <v>3.4070694771959342E-3</v>
      </c>
      <c r="P29" s="11"/>
      <c r="Q29" s="151"/>
      <c r="R29" s="151" t="s">
        <v>280</v>
      </c>
      <c r="S29" s="151" t="s">
        <v>270</v>
      </c>
      <c r="T29" s="151" t="s">
        <v>281</v>
      </c>
      <c r="U29" s="151" t="s">
        <v>282</v>
      </c>
      <c r="V29" s="151" t="s">
        <v>283</v>
      </c>
      <c r="W29" s="151" t="s">
        <v>284</v>
      </c>
      <c r="X29" s="151" t="s">
        <v>285</v>
      </c>
      <c r="Y29" s="151" t="s">
        <v>286</v>
      </c>
    </row>
    <row r="30" spans="3:25" x14ac:dyDescent="0.35">
      <c r="C30" s="143">
        <v>44795</v>
      </c>
      <c r="D30" s="144">
        <v>4409.6499020000001</v>
      </c>
      <c r="E30" s="146">
        <f t="shared" si="0"/>
        <v>6.3098817891373837E-3</v>
      </c>
      <c r="G30" s="144">
        <v>17558.900390999999</v>
      </c>
      <c r="H30" s="146">
        <f t="shared" si="1"/>
        <v>-1.1236838619134604E-2</v>
      </c>
      <c r="P30" s="153"/>
      <c r="Q30" s="149" t="s">
        <v>287</v>
      </c>
      <c r="R30" s="149">
        <v>-2.4496943307981537E-3</v>
      </c>
      <c r="S30" s="149">
        <v>3.3456075775040585E-3</v>
      </c>
      <c r="T30" s="149">
        <v>-0.7322120942306426</v>
      </c>
      <c r="U30" s="149">
        <v>0.46571826098167635</v>
      </c>
      <c r="V30" s="149">
        <v>-9.0856910977895004E-3</v>
      </c>
      <c r="W30" s="149">
        <v>4.1863024361931938E-3</v>
      </c>
      <c r="X30" s="149">
        <v>-9.0856910977895004E-3</v>
      </c>
      <c r="Y30" s="149">
        <v>4.1863024361931938E-3</v>
      </c>
    </row>
    <row r="31" spans="3:25" ht="15" thickBot="1" x14ac:dyDescent="0.4">
      <c r="C31" s="143">
        <v>44802</v>
      </c>
      <c r="D31" s="144">
        <v>4576.7998049999997</v>
      </c>
      <c r="E31" s="146">
        <f t="shared" si="0"/>
        <v>3.7905481549496356E-2</v>
      </c>
      <c r="G31" s="144">
        <v>17539.449218999998</v>
      </c>
      <c r="H31" s="146">
        <f t="shared" si="1"/>
        <v>-1.1077670905844661E-3</v>
      </c>
      <c r="P31" s="152"/>
      <c r="Q31" s="150" t="s">
        <v>288</v>
      </c>
      <c r="R31" s="150">
        <v>1.2681188370272607</v>
      </c>
      <c r="S31" s="150">
        <v>0.19381446594656804</v>
      </c>
      <c r="T31" s="150">
        <v>6.5429524614373396</v>
      </c>
      <c r="U31" s="150">
        <v>2.452472117364006E-9</v>
      </c>
      <c r="V31" s="150">
        <v>0.883688762781346</v>
      </c>
      <c r="W31" s="150">
        <v>1.6525489112731755</v>
      </c>
      <c r="X31" s="150">
        <v>0.883688762781346</v>
      </c>
      <c r="Y31" s="150">
        <v>1.6525489112731755</v>
      </c>
    </row>
    <row r="32" spans="3:25" x14ac:dyDescent="0.35">
      <c r="C32" s="143">
        <v>44809</v>
      </c>
      <c r="D32" s="144">
        <v>4386.1000979999999</v>
      </c>
      <c r="E32" s="146">
        <f t="shared" si="0"/>
        <v>-4.1666604423393538E-2</v>
      </c>
      <c r="G32" s="144">
        <v>17833.349609000001</v>
      </c>
      <c r="H32" s="146">
        <f t="shared" si="1"/>
        <v>1.6756534730955508E-2</v>
      </c>
      <c r="P32" s="11"/>
    </row>
    <row r="33" spans="3:16" x14ac:dyDescent="0.35">
      <c r="C33" s="143">
        <v>44816</v>
      </c>
      <c r="D33" s="144">
        <v>4327.5498049999997</v>
      </c>
      <c r="E33" s="146">
        <f t="shared" si="0"/>
        <v>-1.334905535482378E-2</v>
      </c>
      <c r="G33" s="144">
        <v>17530.849609000001</v>
      </c>
      <c r="H33" s="146">
        <f t="shared" si="1"/>
        <v>-1.6962601341440453E-2</v>
      </c>
      <c r="P33" s="11"/>
    </row>
    <row r="34" spans="3:16" x14ac:dyDescent="0.35">
      <c r="C34" s="143">
        <v>44823</v>
      </c>
      <c r="D34" s="144">
        <v>4367</v>
      </c>
      <c r="E34" s="146">
        <f t="shared" si="0"/>
        <v>9.1160579953164511E-3</v>
      </c>
      <c r="G34" s="144">
        <v>17327.349609000001</v>
      </c>
      <c r="H34" s="146">
        <f t="shared" si="1"/>
        <v>-1.1608108251383698E-2</v>
      </c>
    </row>
    <row r="35" spans="3:16" x14ac:dyDescent="0.35">
      <c r="C35" s="143">
        <v>44830</v>
      </c>
      <c r="D35" s="144">
        <v>4386.5498049999997</v>
      </c>
      <c r="E35" s="146">
        <f t="shared" si="0"/>
        <v>4.4767128463474304E-3</v>
      </c>
      <c r="G35" s="144">
        <v>17094.349609000001</v>
      </c>
      <c r="H35" s="146">
        <f t="shared" si="1"/>
        <v>-1.3446949779265527E-2</v>
      </c>
    </row>
    <row r="36" spans="3:16" x14ac:dyDescent="0.35">
      <c r="C36" s="143">
        <v>44837</v>
      </c>
      <c r="D36" s="144">
        <v>4471.4501950000003</v>
      </c>
      <c r="E36" s="146">
        <f t="shared" si="0"/>
        <v>1.9354707862481613E-2</v>
      </c>
      <c r="G36" s="144">
        <v>17314.650390999999</v>
      </c>
      <c r="H36" s="146">
        <f t="shared" si="1"/>
        <v>1.2887345060733635E-2</v>
      </c>
    </row>
    <row r="37" spans="3:16" x14ac:dyDescent="0.35">
      <c r="C37" s="143">
        <v>44844</v>
      </c>
      <c r="D37" s="144">
        <v>4306.1499020000001</v>
      </c>
      <c r="E37" s="146">
        <f t="shared" si="0"/>
        <v>-3.6967937870545864E-2</v>
      </c>
      <c r="G37" s="144">
        <v>17185.699218999998</v>
      </c>
      <c r="H37" s="146">
        <f t="shared" si="1"/>
        <v>-7.4475180894804094E-3</v>
      </c>
    </row>
    <row r="38" spans="3:16" x14ac:dyDescent="0.35">
      <c r="C38" s="143">
        <v>44851</v>
      </c>
      <c r="D38" s="144">
        <v>4215.5498049999997</v>
      </c>
      <c r="E38" s="146">
        <f t="shared" si="0"/>
        <v>-2.1039698817247654E-2</v>
      </c>
      <c r="G38" s="144">
        <v>17576.300781000002</v>
      </c>
      <c r="H38" s="146">
        <f t="shared" si="1"/>
        <v>2.2728290366455628E-2</v>
      </c>
    </row>
    <row r="39" spans="3:16" x14ac:dyDescent="0.35">
      <c r="C39" s="143">
        <v>44858</v>
      </c>
      <c r="D39" s="144">
        <v>4307.3500979999999</v>
      </c>
      <c r="E39" s="146">
        <f t="shared" si="0"/>
        <v>2.1776588403988884E-2</v>
      </c>
      <c r="G39" s="144">
        <v>17786.800781000002</v>
      </c>
      <c r="H39" s="146">
        <f t="shared" si="1"/>
        <v>1.197635399068453E-2</v>
      </c>
    </row>
    <row r="40" spans="3:16" x14ac:dyDescent="0.35">
      <c r="C40" s="143">
        <v>44865</v>
      </c>
      <c r="D40" s="144">
        <v>4167.3500979999999</v>
      </c>
      <c r="E40" s="146">
        <f t="shared" si="0"/>
        <v>-3.2502582055033091E-2</v>
      </c>
      <c r="G40" s="144">
        <v>18117.150390999999</v>
      </c>
      <c r="H40" s="146">
        <f t="shared" si="1"/>
        <v>1.8572739081492262E-2</v>
      </c>
    </row>
    <row r="41" spans="3:16" x14ac:dyDescent="0.35">
      <c r="C41" s="143">
        <v>44872</v>
      </c>
      <c r="D41" s="144">
        <v>4128.3500979999999</v>
      </c>
      <c r="E41" s="146">
        <f t="shared" si="0"/>
        <v>-9.3584649916302887E-3</v>
      </c>
      <c r="G41" s="144">
        <v>18349.699218999998</v>
      </c>
      <c r="H41" s="146">
        <f t="shared" si="1"/>
        <v>1.2835839134808014E-2</v>
      </c>
    </row>
    <row r="42" spans="3:16" x14ac:dyDescent="0.35">
      <c r="C42" s="143">
        <v>44879</v>
      </c>
      <c r="D42" s="144">
        <v>3910.6000979999999</v>
      </c>
      <c r="E42" s="146">
        <f t="shared" si="0"/>
        <v>-5.2745042167206213E-2</v>
      </c>
      <c r="G42" s="144">
        <v>18307.650390999999</v>
      </c>
      <c r="H42" s="146">
        <f t="shared" si="1"/>
        <v>-2.2915268254892762E-3</v>
      </c>
    </row>
    <row r="43" spans="3:16" x14ac:dyDescent="0.35">
      <c r="C43" s="143">
        <v>44886</v>
      </c>
      <c r="D43" s="144">
        <v>3904.4499510000001</v>
      </c>
      <c r="E43" s="146">
        <f t="shared" si="0"/>
        <v>-1.5726862491373117E-3</v>
      </c>
      <c r="G43" s="144">
        <v>18512.75</v>
      </c>
      <c r="H43" s="146">
        <f t="shared" si="1"/>
        <v>1.1202945469224623E-2</v>
      </c>
    </row>
    <row r="44" spans="3:16" x14ac:dyDescent="0.35">
      <c r="C44" s="143">
        <v>44893</v>
      </c>
      <c r="D44" s="144">
        <v>4005.75</v>
      </c>
      <c r="E44" s="146">
        <f t="shared" si="0"/>
        <v>2.5944768218646219E-2</v>
      </c>
      <c r="G44" s="144">
        <v>18696.099609000001</v>
      </c>
      <c r="H44" s="146">
        <f t="shared" si="1"/>
        <v>9.9039639707769744E-3</v>
      </c>
    </row>
    <row r="45" spans="3:16" x14ac:dyDescent="0.35">
      <c r="C45" s="143">
        <v>44900</v>
      </c>
      <c r="D45" s="144">
        <v>4002.3999020000001</v>
      </c>
      <c r="E45" s="146">
        <f t="shared" si="0"/>
        <v>-8.3632228671282061E-4</v>
      </c>
      <c r="G45" s="144">
        <v>18496.599609000001</v>
      </c>
      <c r="H45" s="146">
        <f t="shared" si="1"/>
        <v>-1.0670674855838058E-2</v>
      </c>
    </row>
    <row r="46" spans="3:16" x14ac:dyDescent="0.35">
      <c r="C46" s="143">
        <v>44907</v>
      </c>
      <c r="D46" s="144">
        <v>3990</v>
      </c>
      <c r="E46" s="146">
        <f t="shared" si="0"/>
        <v>-3.0981167058803383E-3</v>
      </c>
      <c r="G46" s="144">
        <v>18269</v>
      </c>
      <c r="H46" s="146">
        <f t="shared" si="1"/>
        <v>-1.2304943276668867E-2</v>
      </c>
    </row>
    <row r="47" spans="3:16" x14ac:dyDescent="0.35">
      <c r="C47" s="143">
        <v>44914</v>
      </c>
      <c r="D47" s="144">
        <v>3875.6000979999999</v>
      </c>
      <c r="E47" s="146">
        <f t="shared" si="0"/>
        <v>-2.8671654636591493E-2</v>
      </c>
      <c r="G47" s="144">
        <v>17806.800781000002</v>
      </c>
      <c r="H47" s="146">
        <f t="shared" si="1"/>
        <v>-2.529964524604511E-2</v>
      </c>
    </row>
    <row r="48" spans="3:16" x14ac:dyDescent="0.35">
      <c r="C48" s="143">
        <v>44921</v>
      </c>
      <c r="D48" s="144">
        <v>4068.75</v>
      </c>
      <c r="E48" s="146">
        <f t="shared" si="0"/>
        <v>4.9837417978102261E-2</v>
      </c>
      <c r="G48" s="144">
        <v>18105.300781000002</v>
      </c>
      <c r="H48" s="146">
        <f t="shared" si="1"/>
        <v>1.6763258244484991E-2</v>
      </c>
    </row>
    <row r="49" spans="3:8" x14ac:dyDescent="0.35">
      <c r="C49" s="143">
        <v>44928</v>
      </c>
      <c r="D49" s="144">
        <v>3842.5</v>
      </c>
      <c r="E49" s="146">
        <f t="shared" si="0"/>
        <v>-5.5606758832565273E-2</v>
      </c>
      <c r="G49" s="144">
        <v>17859.449218999998</v>
      </c>
      <c r="H49" s="146">
        <f t="shared" si="1"/>
        <v>-1.3578982474458767E-2</v>
      </c>
    </row>
    <row r="50" spans="3:8" x14ac:dyDescent="0.35">
      <c r="C50" s="143">
        <v>44935</v>
      </c>
      <c r="D50" s="144">
        <v>3863.6999510000001</v>
      </c>
      <c r="E50" s="146">
        <f t="shared" si="0"/>
        <v>5.517228627195836E-3</v>
      </c>
      <c r="G50" s="144">
        <v>17956.599609000001</v>
      </c>
      <c r="H50" s="146">
        <f t="shared" si="1"/>
        <v>5.4397192661825855E-3</v>
      </c>
    </row>
    <row r="51" spans="3:8" x14ac:dyDescent="0.35">
      <c r="C51" s="143">
        <v>44942</v>
      </c>
      <c r="D51" s="144">
        <v>3513.75</v>
      </c>
      <c r="E51" s="146">
        <f t="shared" si="0"/>
        <v>-9.0573790780370089E-2</v>
      </c>
      <c r="G51" s="144">
        <v>18027.650390999999</v>
      </c>
      <c r="H51" s="146">
        <f t="shared" si="1"/>
        <v>3.9568060516528281E-3</v>
      </c>
    </row>
    <row r="52" spans="3:8" x14ac:dyDescent="0.35">
      <c r="C52" s="143">
        <v>44949</v>
      </c>
      <c r="D52" s="144">
        <v>3562.3500979999999</v>
      </c>
      <c r="E52" s="146">
        <f t="shared" si="0"/>
        <v>1.3831404624688792E-2</v>
      </c>
      <c r="G52" s="144">
        <v>17604.349609000001</v>
      </c>
      <c r="H52" s="146">
        <f t="shared" si="1"/>
        <v>-2.3480640727941093E-2</v>
      </c>
    </row>
    <row r="53" spans="3:8" x14ac:dyDescent="0.35">
      <c r="C53" s="143">
        <v>44956</v>
      </c>
      <c r="D53" s="144">
        <v>3470.3500979999999</v>
      </c>
      <c r="E53" s="146">
        <f t="shared" si="0"/>
        <v>-2.5825648088785957E-2</v>
      </c>
      <c r="G53" s="144">
        <v>17854.050781000002</v>
      </c>
      <c r="H53" s="146">
        <f t="shared" si="1"/>
        <v>1.4184061186352848E-2</v>
      </c>
    </row>
    <row r="54" spans="3:8" x14ac:dyDescent="0.35">
      <c r="C54" s="143">
        <v>44963</v>
      </c>
      <c r="D54" s="144">
        <v>3498.8500979999999</v>
      </c>
      <c r="E54" s="146">
        <f t="shared" si="0"/>
        <v>8.2124279093411801E-3</v>
      </c>
      <c r="G54" s="144">
        <v>17856.5</v>
      </c>
      <c r="H54" s="146">
        <f t="shared" si="1"/>
        <v>1.371800175793414E-4</v>
      </c>
    </row>
    <row r="55" spans="3:8" x14ac:dyDescent="0.35">
      <c r="C55" s="143">
        <v>44970</v>
      </c>
      <c r="D55" s="144">
        <v>3545</v>
      </c>
      <c r="E55" s="146">
        <f t="shared" si="0"/>
        <v>1.3190019780035867E-2</v>
      </c>
      <c r="G55" s="144">
        <v>17944.199218999998</v>
      </c>
      <c r="H55" s="146">
        <f t="shared" si="1"/>
        <v>4.9113330719905424E-3</v>
      </c>
    </row>
    <row r="56" spans="3:8" x14ac:dyDescent="0.35">
      <c r="C56" s="143">
        <v>44977</v>
      </c>
      <c r="D56" s="144">
        <v>3499.1999510000001</v>
      </c>
      <c r="E56" s="146">
        <f t="shared" si="0"/>
        <v>-1.2919618899858931E-2</v>
      </c>
      <c r="G56" s="144">
        <v>17465.800781000002</v>
      </c>
      <c r="H56" s="146">
        <f t="shared" si="1"/>
        <v>-2.6660339208308015E-2</v>
      </c>
    </row>
    <row r="57" spans="3:8" x14ac:dyDescent="0.35">
      <c r="C57" s="143">
        <v>44984</v>
      </c>
      <c r="D57" s="144">
        <v>3463.25</v>
      </c>
      <c r="E57" s="146">
        <f t="shared" si="0"/>
        <v>-1.0273763003947889E-2</v>
      </c>
      <c r="G57" s="144">
        <v>17594.349609000001</v>
      </c>
      <c r="H57" s="146">
        <f t="shared" si="1"/>
        <v>7.3600305884538031E-3</v>
      </c>
    </row>
    <row r="58" spans="3:8" x14ac:dyDescent="0.35">
      <c r="C58" s="143">
        <v>44991</v>
      </c>
      <c r="D58" s="144">
        <v>3391.8500979999999</v>
      </c>
      <c r="E58" s="146">
        <f t="shared" si="0"/>
        <v>-2.0616444669024792E-2</v>
      </c>
      <c r="G58" s="144">
        <v>17412.900390999999</v>
      </c>
      <c r="H58" s="146">
        <f t="shared" si="1"/>
        <v>-1.0312925571695164E-2</v>
      </c>
    </row>
    <row r="59" spans="3:8" x14ac:dyDescent="0.35">
      <c r="C59" s="143">
        <v>44998</v>
      </c>
      <c r="D59" s="144">
        <v>3311.3000489999999</v>
      </c>
      <c r="E59" s="146">
        <f t="shared" si="0"/>
        <v>-2.3748115828437166E-2</v>
      </c>
      <c r="G59" s="144">
        <v>17100.050781000002</v>
      </c>
      <c r="H59" s="146">
        <f t="shared" si="1"/>
        <v>-1.7966542217268788E-2</v>
      </c>
    </row>
    <row r="60" spans="3:8" x14ac:dyDescent="0.35">
      <c r="C60" s="143">
        <v>45005</v>
      </c>
      <c r="D60" s="144">
        <v>3358.3999020000001</v>
      </c>
      <c r="E60" s="146">
        <f t="shared" si="0"/>
        <v>1.4223976173413977E-2</v>
      </c>
      <c r="G60" s="144">
        <v>16945.050781000002</v>
      </c>
      <c r="H60" s="146">
        <f t="shared" si="1"/>
        <v>-9.0643005675878907E-3</v>
      </c>
    </row>
    <row r="61" spans="3:8" x14ac:dyDescent="0.35">
      <c r="C61" s="143">
        <v>45012</v>
      </c>
      <c r="D61" s="144">
        <v>3401.0500489999999</v>
      </c>
      <c r="E61" s="146">
        <f t="shared" si="0"/>
        <v>1.2699543903214261E-2</v>
      </c>
      <c r="G61" s="144">
        <v>17359.75</v>
      </c>
      <c r="H61" s="146">
        <f t="shared" si="1"/>
        <v>2.4473176525678486E-2</v>
      </c>
    </row>
    <row r="62" spans="3:8" x14ac:dyDescent="0.35">
      <c r="C62" s="143">
        <v>45019</v>
      </c>
      <c r="D62" s="144">
        <v>3496.1000979999999</v>
      </c>
      <c r="E62" s="146">
        <f t="shared" si="0"/>
        <v>2.7947265588739834E-2</v>
      </c>
      <c r="G62" s="144">
        <v>17599.150390999999</v>
      </c>
      <c r="H62" s="146">
        <f t="shared" si="1"/>
        <v>1.3790543700226143E-2</v>
      </c>
    </row>
    <row r="63" spans="3:8" x14ac:dyDescent="0.35">
      <c r="C63" s="143">
        <v>45026</v>
      </c>
      <c r="D63" s="144">
        <v>3501.0500489999999</v>
      </c>
      <c r="E63" s="146">
        <f t="shared" si="0"/>
        <v>1.4158493353297885E-3</v>
      </c>
      <c r="G63" s="144">
        <v>17828</v>
      </c>
      <c r="H63" s="146">
        <f t="shared" si="1"/>
        <v>1.3003446411653519E-2</v>
      </c>
    </row>
    <row r="64" spans="3:8" x14ac:dyDescent="0.35">
      <c r="C64" s="143">
        <v>45033</v>
      </c>
      <c r="D64" s="144">
        <v>3455.8999020000001</v>
      </c>
      <c r="E64" s="146">
        <f t="shared" si="0"/>
        <v>-1.2896172967563291E-2</v>
      </c>
      <c r="G64" s="144">
        <v>17624.050781000002</v>
      </c>
      <c r="H64" s="146">
        <f t="shared" si="1"/>
        <v>-1.1439826060130054E-2</v>
      </c>
    </row>
    <row r="65" spans="3:8" x14ac:dyDescent="0.35">
      <c r="C65" s="143">
        <v>45040</v>
      </c>
      <c r="D65" s="144">
        <v>3511.9499510000001</v>
      </c>
      <c r="E65" s="146">
        <f t="shared" si="0"/>
        <v>1.621865522423338E-2</v>
      </c>
      <c r="G65" s="144">
        <v>18065</v>
      </c>
      <c r="H65" s="146">
        <f t="shared" si="1"/>
        <v>2.5019742877464557E-2</v>
      </c>
    </row>
    <row r="66" spans="3:8" x14ac:dyDescent="0.35">
      <c r="C66" s="143">
        <v>45047</v>
      </c>
      <c r="D66" s="144">
        <v>3598.1999510000001</v>
      </c>
      <c r="E66" s="146">
        <f t="shared" si="0"/>
        <v>2.4559006023260999E-2</v>
      </c>
      <c r="G66" s="144">
        <v>18069</v>
      </c>
      <c r="H66" s="146">
        <f t="shared" si="1"/>
        <v>2.2142264046509652E-4</v>
      </c>
    </row>
    <row r="67" spans="3:8" x14ac:dyDescent="0.35">
      <c r="C67" s="143">
        <v>45054</v>
      </c>
      <c r="D67" s="144">
        <v>3677.5500489999999</v>
      </c>
      <c r="E67" s="146">
        <f t="shared" si="0"/>
        <v>2.20527205493255E-2</v>
      </c>
      <c r="G67" s="144">
        <v>18314.800781000002</v>
      </c>
      <c r="H67" s="146">
        <f t="shared" si="1"/>
        <v>1.3603452376999448E-2</v>
      </c>
    </row>
    <row r="68" spans="3:8" x14ac:dyDescent="0.35">
      <c r="C68" s="143">
        <v>45061</v>
      </c>
      <c r="D68" s="144">
        <v>3395.25</v>
      </c>
      <c r="E68" s="146">
        <f t="shared" si="0"/>
        <v>-7.6763074666179709E-2</v>
      </c>
      <c r="G68" s="144">
        <v>18203.400390999999</v>
      </c>
      <c r="H68" s="146">
        <f t="shared" si="1"/>
        <v>-6.0825335384249168E-3</v>
      </c>
    </row>
    <row r="69" spans="3:8" x14ac:dyDescent="0.35">
      <c r="C69" s="143">
        <v>45068</v>
      </c>
      <c r="D69" s="144">
        <v>3501.75</v>
      </c>
      <c r="E69" s="146">
        <f t="shared" si="0"/>
        <v>3.1367351446874414E-2</v>
      </c>
      <c r="G69" s="144">
        <v>18499.349609000001</v>
      </c>
      <c r="H69" s="146">
        <f t="shared" si="1"/>
        <v>1.6257908502980811E-2</v>
      </c>
    </row>
    <row r="70" spans="3:8" x14ac:dyDescent="0.35">
      <c r="C70" s="143">
        <v>45075</v>
      </c>
      <c r="D70" s="144">
        <v>3531.6000979999999</v>
      </c>
      <c r="E70" s="146">
        <f t="shared" si="0"/>
        <v>8.5243372599415057E-3</v>
      </c>
      <c r="G70" s="144">
        <v>18534.099609000001</v>
      </c>
      <c r="H70" s="146">
        <f t="shared" si="1"/>
        <v>1.8784444174779757E-3</v>
      </c>
    </row>
    <row r="71" spans="3:8" x14ac:dyDescent="0.35">
      <c r="C71" s="143">
        <v>45082</v>
      </c>
      <c r="D71" s="144">
        <v>3632.1000979999999</v>
      </c>
      <c r="E71" s="146">
        <f t="shared" si="0"/>
        <v>2.8457355649331495E-2</v>
      </c>
      <c r="G71" s="144">
        <v>18563.400390999999</v>
      </c>
      <c r="H71" s="146">
        <f t="shared" si="1"/>
        <v>1.5809120819534339E-3</v>
      </c>
    </row>
    <row r="72" spans="3:8" x14ac:dyDescent="0.35">
      <c r="C72" s="143">
        <v>45089</v>
      </c>
      <c r="D72" s="144">
        <v>4085.6000979999999</v>
      </c>
      <c r="E72" s="146">
        <f t="shared" si="0"/>
        <v>0.12485889368790182</v>
      </c>
      <c r="G72" s="144">
        <v>18826</v>
      </c>
      <c r="H72" s="146">
        <f t="shared" si="1"/>
        <v>1.4146094113625551E-2</v>
      </c>
    </row>
    <row r="73" spans="3:8" x14ac:dyDescent="0.35">
      <c r="C73" s="143">
        <v>45096</v>
      </c>
      <c r="D73" s="144">
        <v>3744.0500489999999</v>
      </c>
      <c r="E73" s="146">
        <f t="shared" ref="E73:E112" si="2">D73/D72-1</f>
        <v>-8.359850225360943E-2</v>
      </c>
      <c r="G73" s="144">
        <v>18665.5</v>
      </c>
      <c r="H73" s="146">
        <f t="shared" ref="H73:H112" si="3">G73/G72-1</f>
        <v>-8.5254435355359703E-3</v>
      </c>
    </row>
    <row r="74" spans="3:8" x14ac:dyDescent="0.35">
      <c r="C74" s="143">
        <v>45103</v>
      </c>
      <c r="D74" s="144">
        <v>3889.1999510000001</v>
      </c>
      <c r="E74" s="146">
        <f t="shared" si="2"/>
        <v>3.8768152161525737E-2</v>
      </c>
      <c r="G74" s="144">
        <v>19189.050781000002</v>
      </c>
      <c r="H74" s="146">
        <f t="shared" si="3"/>
        <v>2.804911633762841E-2</v>
      </c>
    </row>
    <row r="75" spans="3:8" x14ac:dyDescent="0.35">
      <c r="C75" s="143">
        <v>45110</v>
      </c>
      <c r="D75" s="144">
        <v>3808.9499510000001</v>
      </c>
      <c r="E75" s="146">
        <f t="shared" si="2"/>
        <v>-2.0634063820597848E-2</v>
      </c>
      <c r="G75" s="144">
        <v>19331.800781000002</v>
      </c>
      <c r="H75" s="146">
        <f t="shared" si="3"/>
        <v>7.4391381642151533E-3</v>
      </c>
    </row>
    <row r="76" spans="3:8" x14ac:dyDescent="0.35">
      <c r="C76" s="143">
        <v>45117</v>
      </c>
      <c r="D76" s="144">
        <v>3838.75</v>
      </c>
      <c r="E76" s="146">
        <f t="shared" si="2"/>
        <v>7.8236914066502905E-3</v>
      </c>
      <c r="G76" s="144">
        <v>19564.5</v>
      </c>
      <c r="H76" s="146">
        <f t="shared" si="3"/>
        <v>1.2037120681933855E-2</v>
      </c>
    </row>
    <row r="77" spans="3:8" x14ac:dyDescent="0.35">
      <c r="C77" s="143">
        <v>45124</v>
      </c>
      <c r="D77" s="144">
        <v>3675.6999510000001</v>
      </c>
      <c r="E77" s="146">
        <f t="shared" si="2"/>
        <v>-4.2474776685118787E-2</v>
      </c>
      <c r="G77" s="144">
        <v>19745</v>
      </c>
      <c r="H77" s="146">
        <f t="shared" si="3"/>
        <v>9.225893838329613E-3</v>
      </c>
    </row>
    <row r="78" spans="3:8" x14ac:dyDescent="0.35">
      <c r="C78" s="143">
        <v>45131</v>
      </c>
      <c r="D78" s="144">
        <v>3713.8999020000001</v>
      </c>
      <c r="E78" s="146">
        <f t="shared" si="2"/>
        <v>1.039256509215547E-2</v>
      </c>
      <c r="G78" s="144">
        <v>19646.050781000002</v>
      </c>
      <c r="H78" s="146">
        <f t="shared" si="3"/>
        <v>-5.0113557356291638E-3</v>
      </c>
    </row>
    <row r="79" spans="3:8" x14ac:dyDescent="0.35">
      <c r="C79" s="143">
        <v>45138</v>
      </c>
      <c r="D79" s="144">
        <v>3652.1000979999999</v>
      </c>
      <c r="E79" s="146">
        <f t="shared" si="2"/>
        <v>-1.6640137222524443E-2</v>
      </c>
      <c r="G79" s="144">
        <v>19517</v>
      </c>
      <c r="H79" s="146">
        <f t="shared" si="3"/>
        <v>-6.568789953694365E-3</v>
      </c>
    </row>
    <row r="80" spans="3:8" x14ac:dyDescent="0.35">
      <c r="C80" s="143">
        <v>45145</v>
      </c>
      <c r="D80" s="144">
        <v>3550.0500489999999</v>
      </c>
      <c r="E80" s="146">
        <f t="shared" si="2"/>
        <v>-2.7942840081487841E-2</v>
      </c>
      <c r="G80" s="144">
        <v>19428.300781000002</v>
      </c>
      <c r="H80" s="146">
        <f t="shared" si="3"/>
        <v>-4.5447158374749552E-3</v>
      </c>
    </row>
    <row r="81" spans="3:8" x14ac:dyDescent="0.35">
      <c r="C81" s="143">
        <v>45152</v>
      </c>
      <c r="D81" s="144">
        <v>3540.9499510000001</v>
      </c>
      <c r="E81" s="146">
        <f t="shared" si="2"/>
        <v>-2.5633717481147178E-3</v>
      </c>
      <c r="G81" s="144">
        <v>19310.150390999999</v>
      </c>
      <c r="H81" s="146">
        <f t="shared" si="3"/>
        <v>-6.0813547891717112E-3</v>
      </c>
    </row>
    <row r="82" spans="3:8" x14ac:dyDescent="0.35">
      <c r="C82" s="143">
        <v>45159</v>
      </c>
      <c r="D82" s="144">
        <v>3534.6000979999999</v>
      </c>
      <c r="E82" s="146">
        <f t="shared" si="2"/>
        <v>-1.7932625673533487E-3</v>
      </c>
      <c r="G82" s="144">
        <v>19265.800781000002</v>
      </c>
      <c r="H82" s="146">
        <f t="shared" si="3"/>
        <v>-2.2966993576947203E-3</v>
      </c>
    </row>
    <row r="83" spans="3:8" x14ac:dyDescent="0.35">
      <c r="C83" s="143">
        <v>45166</v>
      </c>
      <c r="D83" s="144">
        <v>3761.0500489999999</v>
      </c>
      <c r="E83" s="146">
        <f t="shared" si="2"/>
        <v>6.406663971070814E-2</v>
      </c>
      <c r="G83" s="144">
        <v>19435.300781000002</v>
      </c>
      <c r="H83" s="146">
        <f t="shared" si="3"/>
        <v>8.797973254616176E-3</v>
      </c>
    </row>
    <row r="84" spans="3:8" x14ac:dyDescent="0.35">
      <c r="C84" s="143">
        <v>45173</v>
      </c>
      <c r="D84" s="144">
        <v>3782.3999020000001</v>
      </c>
      <c r="E84" s="146">
        <f t="shared" si="2"/>
        <v>5.6765671080811764E-3</v>
      </c>
      <c r="G84" s="144">
        <v>19819.949218999998</v>
      </c>
      <c r="H84" s="146">
        <f t="shared" si="3"/>
        <v>1.9791226404688889E-2</v>
      </c>
    </row>
    <row r="85" spans="3:8" x14ac:dyDescent="0.35">
      <c r="C85" s="143">
        <v>45180</v>
      </c>
      <c r="D85" s="144">
        <v>3796</v>
      </c>
      <c r="E85" s="146">
        <f t="shared" si="2"/>
        <v>3.5956266794552327E-3</v>
      </c>
      <c r="G85" s="144">
        <v>20192.349609000001</v>
      </c>
      <c r="H85" s="146">
        <f t="shared" si="3"/>
        <v>1.8789169734249711E-2</v>
      </c>
    </row>
    <row r="86" spans="3:8" x14ac:dyDescent="0.35">
      <c r="C86" s="143">
        <v>45187</v>
      </c>
      <c r="D86" s="144">
        <v>3689.1000979999999</v>
      </c>
      <c r="E86" s="146">
        <f t="shared" si="2"/>
        <v>-2.8161196522655474E-2</v>
      </c>
      <c r="G86" s="144">
        <v>19674.25</v>
      </c>
      <c r="H86" s="146">
        <f t="shared" si="3"/>
        <v>-2.5658213087251469E-2</v>
      </c>
    </row>
    <row r="87" spans="3:8" x14ac:dyDescent="0.35">
      <c r="C87" s="143">
        <v>45194</v>
      </c>
      <c r="D87" s="144">
        <v>3675.6000979999999</v>
      </c>
      <c r="E87" s="146">
        <f t="shared" si="2"/>
        <v>-3.6594290318440192E-3</v>
      </c>
      <c r="G87" s="144">
        <v>19638.300781000002</v>
      </c>
      <c r="H87" s="146">
        <f t="shared" si="3"/>
        <v>-1.8272218254824502E-3</v>
      </c>
    </row>
    <row r="88" spans="3:8" x14ac:dyDescent="0.35">
      <c r="C88" s="143">
        <v>45201</v>
      </c>
      <c r="D88" s="144">
        <v>3833.9499510000001</v>
      </c>
      <c r="E88" s="146">
        <f t="shared" si="2"/>
        <v>4.308136053379763E-2</v>
      </c>
      <c r="G88" s="144">
        <v>19653.5</v>
      </c>
      <c r="H88" s="146">
        <f t="shared" si="3"/>
        <v>7.7395794928980521E-4</v>
      </c>
    </row>
    <row r="89" spans="3:8" x14ac:dyDescent="0.35">
      <c r="C89" s="143">
        <v>45208</v>
      </c>
      <c r="D89" s="144">
        <v>3935.8500979999999</v>
      </c>
      <c r="E89" s="146">
        <f t="shared" si="2"/>
        <v>2.6578371732114414E-2</v>
      </c>
      <c r="G89" s="144">
        <v>19751.050781000002</v>
      </c>
      <c r="H89" s="146">
        <f t="shared" si="3"/>
        <v>4.96353224616497E-3</v>
      </c>
    </row>
    <row r="90" spans="3:8" x14ac:dyDescent="0.35">
      <c r="C90" s="143">
        <v>45215</v>
      </c>
      <c r="D90" s="144">
        <v>3749.5</v>
      </c>
      <c r="E90" s="146">
        <f t="shared" si="2"/>
        <v>-4.7346848421563004E-2</v>
      </c>
      <c r="G90" s="144">
        <v>19542.650390999999</v>
      </c>
      <c r="H90" s="146">
        <f t="shared" si="3"/>
        <v>-1.0551357105540893E-2</v>
      </c>
    </row>
    <row r="91" spans="3:8" x14ac:dyDescent="0.35">
      <c r="C91" s="143">
        <v>45222</v>
      </c>
      <c r="D91" s="144">
        <v>3665.4499510000001</v>
      </c>
      <c r="E91" s="146">
        <f t="shared" si="2"/>
        <v>-2.2416335244699326E-2</v>
      </c>
      <c r="G91" s="144">
        <v>19047.25</v>
      </c>
      <c r="H91" s="146">
        <f t="shared" si="3"/>
        <v>-2.5349703396840506E-2</v>
      </c>
    </row>
    <row r="92" spans="3:8" x14ac:dyDescent="0.35">
      <c r="C92" s="143">
        <v>45229</v>
      </c>
      <c r="D92" s="144">
        <v>3649.6999510000001</v>
      </c>
      <c r="E92" s="146">
        <f t="shared" si="2"/>
        <v>-4.2968803859135818E-3</v>
      </c>
      <c r="G92" s="144">
        <v>19230.599609000001</v>
      </c>
      <c r="H92" s="146">
        <f t="shared" si="3"/>
        <v>9.6260409770438926E-3</v>
      </c>
    </row>
    <row r="93" spans="3:8" x14ac:dyDescent="0.35">
      <c r="C93" s="143">
        <v>45236</v>
      </c>
      <c r="D93" s="144">
        <v>3798.3999020000001</v>
      </c>
      <c r="E93" s="146">
        <f t="shared" si="2"/>
        <v>4.0743061894514598E-2</v>
      </c>
      <c r="G93" s="144">
        <v>19425.349609000001</v>
      </c>
      <c r="H93" s="146">
        <f t="shared" si="3"/>
        <v>1.0127089324289962E-2</v>
      </c>
    </row>
    <row r="94" spans="3:8" x14ac:dyDescent="0.35">
      <c r="C94" s="143">
        <v>45243</v>
      </c>
      <c r="D94" s="144">
        <v>3810.8999020000001</v>
      </c>
      <c r="E94" s="146">
        <f t="shared" si="2"/>
        <v>3.2908593940881303E-3</v>
      </c>
      <c r="G94" s="144">
        <v>19731.800781000002</v>
      </c>
      <c r="H94" s="146">
        <f t="shared" si="3"/>
        <v>1.5775838178892609E-2</v>
      </c>
    </row>
    <row r="95" spans="3:8" x14ac:dyDescent="0.35">
      <c r="C95" s="143">
        <v>45250</v>
      </c>
      <c r="D95" s="144">
        <v>3842.8999020000001</v>
      </c>
      <c r="E95" s="146">
        <f t="shared" si="2"/>
        <v>8.396966811751172E-3</v>
      </c>
      <c r="G95" s="144">
        <v>19794.699218999998</v>
      </c>
      <c r="H95" s="146">
        <f t="shared" si="3"/>
        <v>3.1876684088845142E-3</v>
      </c>
    </row>
    <row r="96" spans="3:8" x14ac:dyDescent="0.35">
      <c r="C96" s="143">
        <v>45257</v>
      </c>
      <c r="D96" s="144">
        <v>3988.3999020000001</v>
      </c>
      <c r="E96" s="146">
        <f t="shared" si="2"/>
        <v>3.7862032244003085E-2</v>
      </c>
      <c r="G96" s="144">
        <v>20267.900390999999</v>
      </c>
      <c r="H96" s="146">
        <f t="shared" si="3"/>
        <v>2.390544896715574E-2</v>
      </c>
    </row>
    <row r="97" spans="3:8" x14ac:dyDescent="0.35">
      <c r="C97" s="143">
        <v>45264</v>
      </c>
      <c r="D97" s="144">
        <v>4070.6499020000001</v>
      </c>
      <c r="E97" s="146">
        <f t="shared" si="2"/>
        <v>2.0622305190298285E-2</v>
      </c>
      <c r="G97" s="144">
        <v>20969.400390999999</v>
      </c>
      <c r="H97" s="146">
        <f t="shared" si="3"/>
        <v>3.4611379889724736E-2</v>
      </c>
    </row>
    <row r="98" spans="3:8" x14ac:dyDescent="0.35">
      <c r="C98" s="143">
        <v>45271</v>
      </c>
      <c r="D98" s="144">
        <v>4045.6499020000001</v>
      </c>
      <c r="E98" s="146">
        <f t="shared" si="2"/>
        <v>-6.1415254570816868E-3</v>
      </c>
      <c r="G98" s="144">
        <v>21456.650390999999</v>
      </c>
      <c r="H98" s="146">
        <f t="shared" si="3"/>
        <v>2.3236239039487572E-2</v>
      </c>
    </row>
    <row r="99" spans="3:8" x14ac:dyDescent="0.35">
      <c r="C99" s="143">
        <v>45278</v>
      </c>
      <c r="D99" s="144">
        <v>4007.9499510000001</v>
      </c>
      <c r="E99" s="146">
        <f t="shared" si="2"/>
        <v>-9.3186390105982619E-3</v>
      </c>
      <c r="G99" s="144">
        <v>21349.400390999999</v>
      </c>
      <c r="H99" s="146">
        <f t="shared" si="3"/>
        <v>-4.9984502727874469E-3</v>
      </c>
    </row>
    <row r="100" spans="3:8" x14ac:dyDescent="0.35">
      <c r="C100" s="143">
        <v>45285</v>
      </c>
      <c r="D100" s="144">
        <v>4082.6499020000001</v>
      </c>
      <c r="E100" s="146">
        <f t="shared" si="2"/>
        <v>1.8637945062503158E-2</v>
      </c>
      <c r="G100" s="144">
        <v>21731.400390999999</v>
      </c>
      <c r="H100" s="146">
        <f t="shared" si="3"/>
        <v>1.7892774176507364E-2</v>
      </c>
    </row>
    <row r="101" spans="3:8" x14ac:dyDescent="0.35">
      <c r="C101" s="143">
        <v>45292</v>
      </c>
      <c r="D101" s="144">
        <v>3863.5</v>
      </c>
      <c r="E101" s="146">
        <f t="shared" si="2"/>
        <v>-5.3678347950590455E-2</v>
      </c>
      <c r="G101" s="144">
        <v>21710.800781000002</v>
      </c>
      <c r="H101" s="146">
        <f t="shared" si="3"/>
        <v>-9.4791912299074799E-4</v>
      </c>
    </row>
    <row r="102" spans="3:8" x14ac:dyDescent="0.35">
      <c r="C102" s="143">
        <v>45299</v>
      </c>
      <c r="D102" s="144">
        <v>3841</v>
      </c>
      <c r="E102" s="146">
        <f t="shared" si="2"/>
        <v>-5.8237349553513784E-3</v>
      </c>
      <c r="G102" s="144">
        <v>21894.550781000002</v>
      </c>
      <c r="H102" s="146">
        <f t="shared" si="3"/>
        <v>8.4635293674109047E-3</v>
      </c>
    </row>
    <row r="103" spans="3:8" x14ac:dyDescent="0.35">
      <c r="C103" s="143">
        <v>45306</v>
      </c>
      <c r="D103" s="144">
        <v>3731.6999510000001</v>
      </c>
      <c r="E103" s="146">
        <f t="shared" si="2"/>
        <v>-2.8456143972923731E-2</v>
      </c>
      <c r="G103" s="144">
        <v>21622.400390999999</v>
      </c>
      <c r="H103" s="146">
        <f t="shared" si="3"/>
        <v>-1.2430051327482539E-2</v>
      </c>
    </row>
    <row r="104" spans="3:8" x14ac:dyDescent="0.35">
      <c r="C104" s="143">
        <v>45313</v>
      </c>
      <c r="D104" s="144">
        <v>3734.25</v>
      </c>
      <c r="E104" s="146">
        <f t="shared" si="2"/>
        <v>6.8334781292289648E-4</v>
      </c>
      <c r="G104" s="144">
        <v>21352.599609000001</v>
      </c>
      <c r="H104" s="146">
        <f t="shared" si="3"/>
        <v>-1.2477836739731241E-2</v>
      </c>
    </row>
    <row r="105" spans="3:8" x14ac:dyDescent="0.35">
      <c r="C105" s="143">
        <v>45320</v>
      </c>
      <c r="D105" s="144">
        <v>3784.3000489999999</v>
      </c>
      <c r="E105" s="146">
        <f t="shared" si="2"/>
        <v>1.3402972216643327E-2</v>
      </c>
      <c r="G105" s="144">
        <v>21853.800781000002</v>
      </c>
      <c r="H105" s="146">
        <f t="shared" si="3"/>
        <v>2.3472606669810325E-2</v>
      </c>
    </row>
    <row r="106" spans="3:8" x14ac:dyDescent="0.35">
      <c r="C106" s="143">
        <v>45327</v>
      </c>
      <c r="D106" s="144">
        <v>3719.1999510000001</v>
      </c>
      <c r="E106" s="146">
        <f t="shared" si="2"/>
        <v>-1.7202678740339983E-2</v>
      </c>
      <c r="G106" s="144">
        <v>21782.5</v>
      </c>
      <c r="H106" s="146">
        <f t="shared" si="3"/>
        <v>-3.2626261085894059E-3</v>
      </c>
    </row>
    <row r="107" spans="3:8" x14ac:dyDescent="0.35">
      <c r="C107" s="143">
        <v>45334</v>
      </c>
      <c r="D107" s="144">
        <v>3693.3000489999999</v>
      </c>
      <c r="E107" s="146">
        <f t="shared" si="2"/>
        <v>-6.9638369383814291E-3</v>
      </c>
      <c r="G107" s="144">
        <v>22040.699218999998</v>
      </c>
      <c r="H107" s="146">
        <f t="shared" si="3"/>
        <v>1.1853516308963474E-2</v>
      </c>
    </row>
    <row r="108" spans="3:8" x14ac:dyDescent="0.35">
      <c r="C108" s="143">
        <v>45341</v>
      </c>
      <c r="D108" s="144">
        <v>3840.5500489999999</v>
      </c>
      <c r="E108" s="146">
        <f t="shared" si="2"/>
        <v>3.9869492878020996E-2</v>
      </c>
      <c r="G108" s="144">
        <v>22212.699218999998</v>
      </c>
      <c r="H108" s="146">
        <f t="shared" si="3"/>
        <v>7.803745166656384E-3</v>
      </c>
    </row>
    <row r="109" spans="3:8" x14ac:dyDescent="0.35">
      <c r="C109" s="143">
        <v>45348</v>
      </c>
      <c r="D109" s="144">
        <v>3884.1499020000001</v>
      </c>
      <c r="E109" s="146">
        <f t="shared" si="2"/>
        <v>1.1352502231119832E-2</v>
      </c>
      <c r="G109" s="144">
        <v>22338.75</v>
      </c>
      <c r="H109" s="146">
        <f t="shared" si="3"/>
        <v>5.6747169606556902E-3</v>
      </c>
    </row>
    <row r="110" spans="3:8" x14ac:dyDescent="0.35">
      <c r="C110" s="143">
        <v>45355</v>
      </c>
      <c r="D110" s="144">
        <v>3925.9499510000001</v>
      </c>
      <c r="E110" s="146">
        <f t="shared" si="2"/>
        <v>1.0761698197712777E-2</v>
      </c>
      <c r="G110" s="144">
        <v>22493.550781000002</v>
      </c>
      <c r="H110" s="146">
        <f t="shared" si="3"/>
        <v>6.9296975435062524E-3</v>
      </c>
    </row>
    <row r="111" spans="3:8" x14ac:dyDescent="0.35">
      <c r="C111" s="143">
        <v>45362</v>
      </c>
      <c r="D111" s="144">
        <v>3932.1000979999999</v>
      </c>
      <c r="E111" s="146">
        <f t="shared" si="2"/>
        <v>1.5665372907858188E-3</v>
      </c>
      <c r="G111" s="144">
        <v>22023.349609000001</v>
      </c>
      <c r="H111" s="146">
        <f t="shared" si="3"/>
        <v>-2.0903821569921877E-2</v>
      </c>
    </row>
    <row r="112" spans="3:8" x14ac:dyDescent="0.35">
      <c r="C112" s="143">
        <v>45369</v>
      </c>
      <c r="D112" s="144">
        <v>4010.5500489999999</v>
      </c>
      <c r="E112" s="146">
        <f t="shared" si="2"/>
        <v>1.9951158171152006E-2</v>
      </c>
      <c r="G112" s="144">
        <v>22055.699218999998</v>
      </c>
      <c r="H112" s="146">
        <f t="shared" si="3"/>
        <v>1.4688778307718753E-3</v>
      </c>
    </row>
  </sheetData>
  <mergeCells count="3">
    <mergeCell ref="C5:E5"/>
    <mergeCell ref="G5:I5"/>
    <mergeCell ref="K5:M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P58"/>
  <sheetViews>
    <sheetView showGridLines="0" workbookViewId="0">
      <pane ySplit="2" topLeftCell="A32" activePane="bottomLeft" state="frozen"/>
      <selection pane="bottomLeft" activeCell="N53" sqref="N53"/>
    </sheetView>
  </sheetViews>
  <sheetFormatPr defaultRowHeight="14.5" x14ac:dyDescent="0.35"/>
  <cols>
    <col min="1" max="1" width="3.7265625" customWidth="1"/>
    <col min="6" max="7" width="10.7265625" bestFit="1" customWidth="1"/>
    <col min="8" max="8" width="11.81640625" bestFit="1" customWidth="1"/>
    <col min="9" max="9" width="10.54296875" bestFit="1" customWidth="1"/>
    <col min="10" max="10" width="10.453125" bestFit="1" customWidth="1"/>
    <col min="11" max="12" width="10.7265625" bestFit="1" customWidth="1"/>
    <col min="14" max="14" width="20" bestFit="1" customWidth="1"/>
  </cols>
  <sheetData>
    <row r="2" spans="2:12" x14ac:dyDescent="0.35">
      <c r="B2" s="154" t="s">
        <v>356</v>
      </c>
      <c r="C2" s="154"/>
      <c r="D2" s="154"/>
      <c r="E2" s="154"/>
      <c r="F2" s="170"/>
      <c r="G2" s="170"/>
      <c r="H2" s="170">
        <f>'RAW FS'!J2</f>
        <v>44256</v>
      </c>
      <c r="I2" s="170">
        <f>'RAW FS'!K2</f>
        <v>44621</v>
      </c>
      <c r="J2" s="170">
        <f>'RAW FS'!L2</f>
        <v>44986</v>
      </c>
      <c r="K2" s="170">
        <f>'RAW FS'!M2</f>
        <v>45352</v>
      </c>
      <c r="L2" s="170">
        <f>'RAW FS'!N2</f>
        <v>45717</v>
      </c>
    </row>
    <row r="4" spans="2:12" x14ac:dyDescent="0.35">
      <c r="B4" s="32" t="s">
        <v>357</v>
      </c>
    </row>
    <row r="5" spans="2:12" x14ac:dyDescent="0.35">
      <c r="B5" s="180" t="str">
        <f>'RAW FS'!B36</f>
        <v>Inventories</v>
      </c>
      <c r="C5" s="180"/>
      <c r="D5" s="180"/>
      <c r="E5" s="180"/>
      <c r="F5" s="171"/>
      <c r="G5" s="171"/>
      <c r="H5" s="171">
        <f>'RAW FS'!J36</f>
        <v>81672</v>
      </c>
      <c r="I5" s="171">
        <f>'RAW FS'!K36</f>
        <v>107778</v>
      </c>
      <c r="J5" s="171">
        <f>'RAW FS'!L36</f>
        <v>140008</v>
      </c>
      <c r="K5" s="171">
        <f>'RAW FS'!M36</f>
        <v>152770</v>
      </c>
      <c r="L5" s="171">
        <f>'RAW FS'!N36</f>
        <v>146062</v>
      </c>
    </row>
    <row r="6" spans="2:12" x14ac:dyDescent="0.35">
      <c r="B6" s="180" t="str">
        <f>'RAW FS'!B37</f>
        <v>Trade receivables</v>
      </c>
      <c r="C6" s="180"/>
      <c r="D6" s="180"/>
      <c r="E6" s="180"/>
      <c r="F6" s="171"/>
      <c r="G6" s="171"/>
      <c r="H6" s="171">
        <f>'RAW FS'!J37</f>
        <v>19014</v>
      </c>
      <c r="I6" s="171">
        <f>'RAW FS'!K37</f>
        <v>23640</v>
      </c>
      <c r="J6" s="171">
        <f>'RAW FS'!L37</f>
        <v>28448</v>
      </c>
      <c r="K6" s="171">
        <f>'RAW FS'!M37</f>
        <v>31628</v>
      </c>
      <c r="L6" s="171">
        <f>'RAW FS'!N37</f>
        <v>42121</v>
      </c>
    </row>
    <row r="7" spans="2:12" x14ac:dyDescent="0.35">
      <c r="B7" s="180" t="str">
        <f>'RAW FS'!B39</f>
        <v>Loans n Advances</v>
      </c>
      <c r="C7" s="180"/>
      <c r="D7" s="180"/>
      <c r="E7" s="180"/>
      <c r="F7" s="171"/>
      <c r="G7" s="171"/>
      <c r="H7" s="171">
        <f>'RAW FS'!J39</f>
        <v>65</v>
      </c>
      <c r="I7" s="171">
        <f>'RAW FS'!K39</f>
        <v>130</v>
      </c>
      <c r="J7" s="171">
        <f>'RAW FS'!L39</f>
        <v>176</v>
      </c>
      <c r="K7" s="171">
        <f>'RAW FS'!M39</f>
        <v>2517</v>
      </c>
      <c r="L7" s="171">
        <f>'RAW FS'!N39</f>
        <v>5182</v>
      </c>
    </row>
    <row r="8" spans="2:12" x14ac:dyDescent="0.35">
      <c r="B8" t="str">
        <f>'RAW FS'!B40</f>
        <v>Other asset items</v>
      </c>
      <c r="F8" s="172"/>
      <c r="G8" s="172"/>
      <c r="H8" s="172">
        <f>'RAW FS'!J40</f>
        <v>169878</v>
      </c>
      <c r="I8" s="172">
        <f>'RAW FS'!K40</f>
        <v>136328</v>
      </c>
      <c r="J8" s="172">
        <f>'RAW FS'!L40</f>
        <v>114469</v>
      </c>
      <c r="K8" s="172">
        <f>'RAW FS'!M40</f>
        <v>126396</v>
      </c>
      <c r="L8" s="172">
        <f>'RAW FS'!N40</f>
        <v>145714</v>
      </c>
    </row>
    <row r="9" spans="2:12" x14ac:dyDescent="0.35">
      <c r="B9" s="181" t="s">
        <v>127</v>
      </c>
      <c r="C9" s="182"/>
      <c r="D9" s="182"/>
      <c r="E9" s="182"/>
      <c r="F9" s="183"/>
      <c r="G9" s="183"/>
      <c r="H9" s="183">
        <f>SUM(H5:H8)</f>
        <v>270629</v>
      </c>
      <c r="I9" s="183">
        <f t="shared" ref="I9:L9" si="0">SUM(I5:I8)</f>
        <v>267876</v>
      </c>
      <c r="J9" s="183">
        <f t="shared" si="0"/>
        <v>283101</v>
      </c>
      <c r="K9" s="183">
        <f t="shared" si="0"/>
        <v>313311</v>
      </c>
      <c r="L9" s="183">
        <f t="shared" si="0"/>
        <v>339079</v>
      </c>
    </row>
    <row r="10" spans="2:12" x14ac:dyDescent="0.35">
      <c r="F10" s="172"/>
      <c r="G10" s="172"/>
      <c r="H10" s="172"/>
      <c r="I10" s="172"/>
      <c r="J10" s="172"/>
    </row>
    <row r="11" spans="2:12" x14ac:dyDescent="0.35">
      <c r="B11" s="32" t="s">
        <v>345</v>
      </c>
      <c r="F11" s="172"/>
      <c r="G11" s="172"/>
      <c r="H11" s="172"/>
      <c r="I11" s="172"/>
      <c r="J11" s="172"/>
    </row>
    <row r="12" spans="2:12" x14ac:dyDescent="0.35">
      <c r="B12" s="180" t="str">
        <f>'RAW FS'!B13</f>
        <v>Trade Payables</v>
      </c>
      <c r="C12" s="180"/>
      <c r="D12" s="180"/>
      <c r="E12" s="180"/>
      <c r="F12" s="171"/>
      <c r="G12" s="171"/>
      <c r="H12" s="171">
        <f>'RAW FS'!J13</f>
        <v>108897</v>
      </c>
      <c r="I12" s="171">
        <f>'RAW FS'!K13</f>
        <v>159330</v>
      </c>
      <c r="J12" s="171">
        <f>'RAW FS'!L13</f>
        <v>147172</v>
      </c>
      <c r="K12" s="171">
        <f>'RAW FS'!M13</f>
        <v>178377</v>
      </c>
      <c r="L12" s="171">
        <f>'RAW FS'!N13</f>
        <v>186789</v>
      </c>
    </row>
    <row r="13" spans="2:12" x14ac:dyDescent="0.35">
      <c r="B13" s="180" t="str">
        <f>'RAW FS'!B14</f>
        <v>Other liability items</v>
      </c>
      <c r="C13" s="180"/>
      <c r="D13" s="180"/>
      <c r="E13" s="180"/>
      <c r="F13" s="171"/>
      <c r="G13" s="171"/>
      <c r="H13" s="171">
        <f>'RAW FS'!J14</f>
        <v>132774</v>
      </c>
      <c r="I13" s="171">
        <f>'RAW FS'!K14</f>
        <v>131150</v>
      </c>
      <c r="J13" s="171">
        <f>'RAW FS'!L14</f>
        <v>178165</v>
      </c>
      <c r="K13" s="171">
        <f>'RAW FS'!M14</f>
        <v>300164</v>
      </c>
      <c r="L13" s="171">
        <f>'RAW FS'!N14</f>
        <v>378985</v>
      </c>
    </row>
    <row r="14" spans="2:12" x14ac:dyDescent="0.35">
      <c r="B14" s="181" t="s">
        <v>346</v>
      </c>
      <c r="C14" s="182"/>
      <c r="D14" s="182"/>
      <c r="E14" s="182"/>
      <c r="F14" s="183"/>
      <c r="G14" s="183"/>
      <c r="H14" s="183">
        <f>SUM(H12:H13)</f>
        <v>241671</v>
      </c>
      <c r="I14" s="183">
        <f t="shared" ref="I14:L14" si="1">SUM(I12:I13)</f>
        <v>290480</v>
      </c>
      <c r="J14" s="183">
        <f t="shared" si="1"/>
        <v>325337</v>
      </c>
      <c r="K14" s="183">
        <f t="shared" si="1"/>
        <v>478541</v>
      </c>
      <c r="L14" s="183">
        <f t="shared" si="1"/>
        <v>565774</v>
      </c>
    </row>
    <row r="15" spans="2:12" x14ac:dyDescent="0.35">
      <c r="F15" s="172"/>
      <c r="G15" s="172"/>
      <c r="H15" s="172"/>
      <c r="I15" s="172"/>
      <c r="J15" s="172"/>
    </row>
    <row r="16" spans="2:12" ht="15" thickBot="1" x14ac:dyDescent="0.4">
      <c r="B16" s="157" t="s">
        <v>358</v>
      </c>
      <c r="C16" s="158"/>
      <c r="D16" s="158"/>
      <c r="E16" s="158"/>
      <c r="F16" s="184"/>
      <c r="G16" s="184"/>
      <c r="H16" s="184">
        <f>H9-H14</f>
        <v>28958</v>
      </c>
      <c r="I16" s="184">
        <f t="shared" ref="I16:L16" si="2">I9-I14</f>
        <v>-22604</v>
      </c>
      <c r="J16" s="184">
        <f t="shared" si="2"/>
        <v>-42236</v>
      </c>
      <c r="K16" s="184">
        <f t="shared" si="2"/>
        <v>-165230</v>
      </c>
      <c r="L16" s="184">
        <f t="shared" si="2"/>
        <v>-226695</v>
      </c>
    </row>
    <row r="17" spans="2:12" ht="15" thickTop="1" x14ac:dyDescent="0.35">
      <c r="F17" s="172"/>
      <c r="G17" s="172"/>
      <c r="H17" s="172"/>
      <c r="I17" s="172"/>
      <c r="J17" s="172"/>
    </row>
    <row r="18" spans="2:12" x14ac:dyDescent="0.35">
      <c r="B18" s="32" t="s">
        <v>359</v>
      </c>
      <c r="F18" s="172"/>
      <c r="G18" s="172"/>
      <c r="H18" s="172"/>
      <c r="I18" s="172"/>
      <c r="J18" s="172"/>
    </row>
    <row r="19" spans="2:12" x14ac:dyDescent="0.35">
      <c r="B19" s="180" t="str">
        <f>'RAW FS'!B18</f>
        <v>Land</v>
      </c>
      <c r="C19" s="180"/>
      <c r="D19" s="180"/>
      <c r="E19" s="180"/>
      <c r="F19" s="171"/>
      <c r="G19" s="171"/>
      <c r="H19" s="171">
        <f>'RAW FS'!J18</f>
        <v>68768</v>
      </c>
      <c r="I19" s="171">
        <f>'RAW FS'!K18</f>
        <v>69855</v>
      </c>
      <c r="J19" s="171">
        <f>'RAW FS'!L18</f>
        <v>79697</v>
      </c>
      <c r="K19" s="171">
        <f>'RAW FS'!M18</f>
        <v>87287</v>
      </c>
      <c r="L19" s="171">
        <f>'RAW FS'!N18</f>
        <v>102088</v>
      </c>
    </row>
    <row r="20" spans="2:12" x14ac:dyDescent="0.35">
      <c r="B20" s="180" t="str">
        <f>'RAW FS'!B19</f>
        <v>Building</v>
      </c>
      <c r="C20" s="180"/>
      <c r="D20" s="180"/>
      <c r="E20" s="180"/>
      <c r="F20" s="171"/>
      <c r="G20" s="171"/>
      <c r="H20" s="171">
        <f>'RAW FS'!J19</f>
        <v>36781</v>
      </c>
      <c r="I20" s="171">
        <f>'RAW FS'!K19</f>
        <v>47561</v>
      </c>
      <c r="J20" s="171">
        <f>'RAW FS'!L19</f>
        <v>69747</v>
      </c>
      <c r="K20" s="171">
        <f>'RAW FS'!M19</f>
        <v>82062</v>
      </c>
      <c r="L20" s="171">
        <f>'RAW FS'!N19</f>
        <v>106351</v>
      </c>
    </row>
    <row r="21" spans="2:12" x14ac:dyDescent="0.35">
      <c r="B21" s="180" t="str">
        <f>'RAW FS'!B20</f>
        <v>Plant Machinery</v>
      </c>
      <c r="C21" s="180"/>
      <c r="D21" s="180"/>
      <c r="E21" s="180"/>
      <c r="F21" s="171"/>
      <c r="G21" s="171"/>
      <c r="H21" s="171">
        <f>'RAW FS'!J20</f>
        <v>471201</v>
      </c>
      <c r="I21" s="171">
        <f>'RAW FS'!K20</f>
        <v>518865</v>
      </c>
      <c r="J21" s="171">
        <f>'RAW FS'!L20</f>
        <v>557687</v>
      </c>
      <c r="K21" s="171">
        <f>'RAW FS'!M20</f>
        <v>579067</v>
      </c>
      <c r="L21" s="171">
        <f>'RAW FS'!N20</f>
        <v>640511</v>
      </c>
    </row>
    <row r="22" spans="2:12" x14ac:dyDescent="0.35">
      <c r="B22" s="180" t="str">
        <f>'RAW FS'!B21</f>
        <v>Ships Vessels</v>
      </c>
      <c r="C22" s="180"/>
      <c r="D22" s="180"/>
      <c r="E22" s="180"/>
      <c r="F22" s="171"/>
      <c r="G22" s="171"/>
      <c r="H22" s="171">
        <f>'RAW FS'!J21</f>
        <v>515</v>
      </c>
      <c r="I22" s="171">
        <f>'RAW FS'!K21</f>
        <v>508</v>
      </c>
      <c r="J22" s="171">
        <f>'RAW FS'!L21</f>
        <v>518</v>
      </c>
      <c r="K22" s="171">
        <f>'RAW FS'!M21</f>
        <v>522</v>
      </c>
      <c r="L22" s="171">
        <f>'RAW FS'!N21</f>
        <v>527</v>
      </c>
    </row>
    <row r="23" spans="2:12" x14ac:dyDescent="0.35">
      <c r="B23" s="180" t="str">
        <f>'RAW FS'!B22</f>
        <v>Equipments</v>
      </c>
      <c r="C23" s="180"/>
      <c r="D23" s="180"/>
      <c r="E23" s="180"/>
      <c r="F23" s="171"/>
      <c r="G23" s="171"/>
      <c r="H23" s="171">
        <f>'RAW FS'!J22</f>
        <v>0</v>
      </c>
      <c r="I23" s="171">
        <f>'RAW FS'!K22</f>
        <v>32638</v>
      </c>
      <c r="J23" s="171">
        <f>'RAW FS'!L22</f>
        <v>45067</v>
      </c>
      <c r="K23" s="171">
        <f>'RAW FS'!M22</f>
        <v>59936</v>
      </c>
      <c r="L23" s="171">
        <f>'RAW FS'!N22</f>
        <v>63964</v>
      </c>
    </row>
    <row r="24" spans="2:12" x14ac:dyDescent="0.35">
      <c r="B24" s="180" t="str">
        <f>'RAW FS'!B23</f>
        <v>Furniture n fittings</v>
      </c>
      <c r="C24" s="180"/>
      <c r="D24" s="180"/>
      <c r="E24" s="180"/>
      <c r="F24" s="171"/>
      <c r="G24" s="171"/>
      <c r="H24" s="171">
        <f>'RAW FS'!J23</f>
        <v>38039</v>
      </c>
      <c r="I24" s="171">
        <f>'RAW FS'!K23</f>
        <v>24970</v>
      </c>
      <c r="J24" s="171">
        <f>'RAW FS'!L23</f>
        <v>38161</v>
      </c>
      <c r="K24" s="171">
        <f>'RAW FS'!M23</f>
        <v>43458</v>
      </c>
      <c r="L24" s="171">
        <f>'RAW FS'!N23</f>
        <v>47640</v>
      </c>
    </row>
    <row r="25" spans="2:12" x14ac:dyDescent="0.35">
      <c r="B25" s="180" t="str">
        <f>'RAW FS'!B24</f>
        <v>Vehicles</v>
      </c>
      <c r="C25" s="180"/>
      <c r="D25" s="180"/>
      <c r="E25" s="180"/>
      <c r="F25" s="171"/>
      <c r="G25" s="171"/>
      <c r="H25" s="171">
        <f>'RAW FS'!J24</f>
        <v>2336</v>
      </c>
      <c r="I25" s="171">
        <f>'RAW FS'!K24</f>
        <v>2530</v>
      </c>
      <c r="J25" s="171">
        <f>'RAW FS'!L24</f>
        <v>3667</v>
      </c>
      <c r="K25" s="171">
        <f>'RAW FS'!M24</f>
        <v>3745</v>
      </c>
      <c r="L25" s="171">
        <f>'RAW FS'!N24</f>
        <v>4178</v>
      </c>
    </row>
    <row r="26" spans="2:12" x14ac:dyDescent="0.35">
      <c r="B26" s="180" t="str">
        <f>'RAW FS'!B25</f>
        <v>Intangible Assets</v>
      </c>
      <c r="C26" s="180"/>
      <c r="D26" s="180"/>
      <c r="E26" s="180"/>
      <c r="F26" s="171"/>
      <c r="G26" s="171"/>
      <c r="H26" s="171">
        <f>'RAW FS'!J25</f>
        <v>77353</v>
      </c>
      <c r="I26" s="171">
        <f>'RAW FS'!K25</f>
        <v>65970</v>
      </c>
      <c r="J26" s="171">
        <f>'RAW FS'!L25</f>
        <v>85032</v>
      </c>
      <c r="K26" s="171">
        <f>'RAW FS'!M25</f>
        <v>112873</v>
      </c>
      <c r="L26" s="171">
        <f>'RAW FS'!N25</f>
        <v>160656</v>
      </c>
    </row>
    <row r="27" spans="2:12" x14ac:dyDescent="0.35">
      <c r="B27" s="180" t="str">
        <f>'RAW FS'!B26</f>
        <v>Other fixed assets</v>
      </c>
      <c r="C27" s="180"/>
      <c r="D27" s="180"/>
      <c r="E27" s="180"/>
      <c r="F27" s="171"/>
      <c r="G27" s="171"/>
      <c r="H27" s="171">
        <f>'RAW FS'!J26</f>
        <v>80819</v>
      </c>
      <c r="I27" s="171">
        <f>'RAW FS'!K26</f>
        <v>120717</v>
      </c>
      <c r="J27" s="171">
        <f>'RAW FS'!L26</f>
        <v>138426</v>
      </c>
      <c r="K27" s="171">
        <f>'RAW FS'!M26</f>
        <v>145632</v>
      </c>
      <c r="L27" s="171">
        <f>'RAW FS'!N26</f>
        <v>249903</v>
      </c>
    </row>
    <row r="28" spans="2:12" ht="6" customHeight="1" thickBot="1" x14ac:dyDescent="0.4">
      <c r="B28" s="77"/>
      <c r="C28" s="77"/>
      <c r="D28" s="77"/>
      <c r="E28" s="77"/>
      <c r="F28" s="190"/>
      <c r="G28" s="190"/>
      <c r="H28" s="190"/>
      <c r="I28" s="190"/>
      <c r="J28" s="190"/>
      <c r="K28" s="190"/>
      <c r="L28" s="190"/>
    </row>
    <row r="29" spans="2:12" x14ac:dyDescent="0.35">
      <c r="B29" s="177" t="s">
        <v>333</v>
      </c>
      <c r="C29" s="191"/>
      <c r="D29" s="191"/>
      <c r="E29" s="191"/>
      <c r="F29" s="192"/>
      <c r="G29" s="192"/>
      <c r="H29" s="192">
        <f>SUM(H19:H27)</f>
        <v>775812</v>
      </c>
      <c r="I29" s="192">
        <f t="shared" ref="I29:L29" si="3">SUM(I19:I27)</f>
        <v>883614</v>
      </c>
      <c r="J29" s="192">
        <f t="shared" si="3"/>
        <v>1018002</v>
      </c>
      <c r="K29" s="192">
        <f t="shared" si="3"/>
        <v>1114582</v>
      </c>
      <c r="L29" s="192">
        <f t="shared" si="3"/>
        <v>1375818</v>
      </c>
    </row>
    <row r="30" spans="2:12" x14ac:dyDescent="0.35">
      <c r="B30" t="str">
        <f>'RAW FS'!B28</f>
        <v>Accumulated Depreciation</v>
      </c>
      <c r="F30" s="172"/>
      <c r="G30" s="172"/>
      <c r="H30" s="172">
        <f>-'RAW FS'!J28</f>
        <v>-234554</v>
      </c>
      <c r="I30" s="172">
        <f>-'RAW FS'!K28</f>
        <v>-255816</v>
      </c>
      <c r="J30" s="172">
        <f>-'RAW FS'!L28</f>
        <v>-293197</v>
      </c>
      <c r="K30" s="172">
        <f>-'RAW FS'!M28</f>
        <v>-334597</v>
      </c>
      <c r="L30" s="172">
        <f>-'RAW FS'!N28</f>
        <v>-376425</v>
      </c>
    </row>
    <row r="31" spans="2:12" ht="15" thickBot="1" x14ac:dyDescent="0.4">
      <c r="B31" s="187" t="s">
        <v>360</v>
      </c>
      <c r="C31" s="188"/>
      <c r="D31" s="188"/>
      <c r="E31" s="188"/>
      <c r="F31" s="189"/>
      <c r="G31" s="189"/>
      <c r="H31" s="189">
        <f>SUM(H29:H30)</f>
        <v>541258</v>
      </c>
      <c r="I31" s="189">
        <f t="shared" ref="I31:L31" si="4">SUM(I29:I30)</f>
        <v>627798</v>
      </c>
      <c r="J31" s="189">
        <f t="shared" si="4"/>
        <v>724805</v>
      </c>
      <c r="K31" s="189">
        <f t="shared" si="4"/>
        <v>779985</v>
      </c>
      <c r="L31" s="189">
        <f t="shared" si="4"/>
        <v>999393</v>
      </c>
    </row>
    <row r="32" spans="2:12" x14ac:dyDescent="0.35">
      <c r="B32" s="32"/>
      <c r="C32" s="32"/>
      <c r="D32" s="32"/>
      <c r="E32" s="32"/>
      <c r="F32" s="185"/>
      <c r="G32" s="185"/>
      <c r="H32" s="185"/>
      <c r="I32" s="185"/>
      <c r="J32" s="185"/>
    </row>
    <row r="33" spans="2:12" x14ac:dyDescent="0.35">
      <c r="B33" s="32" t="s">
        <v>347</v>
      </c>
      <c r="H33" s="193">
        <f>H31+H16</f>
        <v>570216</v>
      </c>
      <c r="I33" s="193">
        <f t="shared" ref="I33:L33" si="5">I31+I16</f>
        <v>605194</v>
      </c>
      <c r="J33" s="193">
        <f t="shared" si="5"/>
        <v>682569</v>
      </c>
      <c r="K33" s="193">
        <f t="shared" si="5"/>
        <v>614755</v>
      </c>
      <c r="L33" s="193">
        <f t="shared" si="5"/>
        <v>772698</v>
      </c>
    </row>
    <row r="34" spans="2:12" x14ac:dyDescent="0.35">
      <c r="B34" s="32" t="s">
        <v>290</v>
      </c>
      <c r="H34" s="193">
        <f>'HISTORICAL FS'!H16-'HISTORICAL FS'!H22</f>
        <v>54218</v>
      </c>
      <c r="I34" s="193">
        <f>'HISTORICAL FS'!I16-'HISTORICAL FS'!I22</f>
        <v>78799</v>
      </c>
      <c r="J34" s="193">
        <f>'HISTORICAL FS'!J16-'HISTORICAL FS'!J22</f>
        <v>102015</v>
      </c>
      <c r="K34" s="193">
        <f>'HISTORICAL FS'!K16-'HISTORICAL FS'!K22</f>
        <v>111666</v>
      </c>
      <c r="L34" s="193">
        <f>'HISTORICAL FS'!L16-'HISTORICAL FS'!L22</f>
        <v>112462</v>
      </c>
    </row>
    <row r="35" spans="2:12" x14ac:dyDescent="0.35">
      <c r="B35" s="32"/>
      <c r="H35" s="193"/>
      <c r="I35" s="193"/>
      <c r="J35" s="193"/>
      <c r="K35" s="193"/>
      <c r="L35" s="193"/>
    </row>
    <row r="36" spans="2:12" x14ac:dyDescent="0.35">
      <c r="B36" s="32" t="s">
        <v>348</v>
      </c>
      <c r="H36" s="194">
        <f>H34/H33</f>
        <v>9.5083266691920257E-2</v>
      </c>
      <c r="I36" s="194">
        <f t="shared" ref="I36:L36" si="6">I34/I33</f>
        <v>0.1302045294566701</v>
      </c>
      <c r="J36" s="194">
        <f t="shared" si="6"/>
        <v>0.14945741749185795</v>
      </c>
      <c r="K36" s="194">
        <f t="shared" si="6"/>
        <v>0.1816430935901294</v>
      </c>
      <c r="L36" s="194">
        <f t="shared" si="6"/>
        <v>0.14554457239438953</v>
      </c>
    </row>
    <row r="37" spans="2:12" x14ac:dyDescent="0.35">
      <c r="B37" s="32"/>
      <c r="H37" s="194"/>
      <c r="I37" s="194"/>
      <c r="J37" s="194"/>
      <c r="K37" s="194"/>
      <c r="L37" s="194"/>
    </row>
    <row r="38" spans="2:12" x14ac:dyDescent="0.35">
      <c r="B38" s="154" t="s">
        <v>349</v>
      </c>
      <c r="C38" s="154"/>
      <c r="D38" s="154"/>
      <c r="E38" s="154"/>
      <c r="F38" s="170"/>
      <c r="G38" s="170"/>
      <c r="H38" s="170">
        <f>'HISTORICAL FS'!H2</f>
        <v>44286</v>
      </c>
      <c r="I38" s="170">
        <f>'HISTORICAL FS'!I2</f>
        <v>44651</v>
      </c>
      <c r="J38" s="170">
        <f>'HISTORICAL FS'!J2</f>
        <v>45016</v>
      </c>
      <c r="K38" s="170">
        <f>'HISTORICAL FS'!K2</f>
        <v>45382</v>
      </c>
      <c r="L38" s="170">
        <f>'HISTORICAL FS'!L2</f>
        <v>45747</v>
      </c>
    </row>
    <row r="40" spans="2:12" x14ac:dyDescent="0.35">
      <c r="B40" s="32"/>
      <c r="F40" s="172"/>
      <c r="G40" s="172"/>
      <c r="H40" s="172"/>
      <c r="I40" s="172"/>
      <c r="J40" s="172"/>
    </row>
    <row r="41" spans="2:12" x14ac:dyDescent="0.35">
      <c r="B41" s="32" t="s">
        <v>350</v>
      </c>
      <c r="E41" s="180"/>
      <c r="F41" s="171"/>
      <c r="G41" s="171"/>
      <c r="H41" s="171">
        <f>-SUM(CFS!J12:J13)</f>
        <v>103518</v>
      </c>
      <c r="I41" s="171">
        <f>-SUM(CFS!K12:K13)</f>
        <v>97008</v>
      </c>
      <c r="J41" s="171">
        <f>-SUM(CFS!L12:L13)</f>
        <v>131802</v>
      </c>
      <c r="K41" s="171">
        <f>-SUM(CFS!M12:M13)</f>
        <v>137576</v>
      </c>
      <c r="L41" s="171">
        <f>-SUM(CFS!N12:N13)</f>
        <v>137624</v>
      </c>
    </row>
    <row r="42" spans="2:12" x14ac:dyDescent="0.35">
      <c r="B42" s="180" t="s">
        <v>351</v>
      </c>
      <c r="C42" s="180"/>
      <c r="D42" s="180"/>
      <c r="E42" s="180"/>
      <c r="F42" s="171"/>
      <c r="G42" s="171"/>
      <c r="H42" s="171"/>
      <c r="I42" s="171">
        <f>I16-H16</f>
        <v>-51562</v>
      </c>
      <c r="J42" s="171">
        <f t="shared" ref="J42:L42" si="7">J16-I16</f>
        <v>-19632</v>
      </c>
      <c r="K42" s="171">
        <f t="shared" si="7"/>
        <v>-122994</v>
      </c>
      <c r="L42" s="171">
        <f t="shared" si="7"/>
        <v>-61465</v>
      </c>
    </row>
    <row r="43" spans="2:12" x14ac:dyDescent="0.35">
      <c r="B43" s="180"/>
      <c r="C43" s="180"/>
      <c r="D43" s="180"/>
      <c r="E43" s="180"/>
      <c r="F43" s="171"/>
      <c r="G43" s="171"/>
      <c r="H43" s="171"/>
      <c r="I43" s="171"/>
      <c r="J43" s="171"/>
    </row>
    <row r="44" spans="2:12" x14ac:dyDescent="0.35">
      <c r="B44" s="180" t="s">
        <v>290</v>
      </c>
      <c r="C44" s="180"/>
      <c r="D44" s="180"/>
      <c r="E44" s="180"/>
      <c r="F44" s="186"/>
      <c r="G44" s="186"/>
      <c r="H44" s="198">
        <f>H34</f>
        <v>54218</v>
      </c>
      <c r="I44" s="198">
        <f t="shared" ref="I44:L44" si="8">I34</f>
        <v>78799</v>
      </c>
      <c r="J44" s="198">
        <f t="shared" si="8"/>
        <v>102015</v>
      </c>
      <c r="K44" s="198">
        <f t="shared" si="8"/>
        <v>111666</v>
      </c>
      <c r="L44" s="198">
        <f t="shared" si="8"/>
        <v>112462</v>
      </c>
    </row>
    <row r="45" spans="2:12" x14ac:dyDescent="0.35">
      <c r="B45" s="180" t="s">
        <v>112</v>
      </c>
      <c r="C45" s="180"/>
      <c r="D45" s="180"/>
      <c r="E45" s="180"/>
      <c r="F45" s="171"/>
      <c r="G45" s="171"/>
      <c r="H45" s="199">
        <f>'HISTORICAL FS'!H29</f>
        <v>5.2136001695479731E-2</v>
      </c>
      <c r="I45" s="199">
        <f>'HISTORICAL FS'!I29</f>
        <v>0.24869578758856964</v>
      </c>
      <c r="J45" s="199">
        <f>'HISTORICAL FS'!J29</f>
        <v>0.24714958032118772</v>
      </c>
      <c r="K45" s="199">
        <f>'HISTORICAL FS'!K29</f>
        <v>0.2903171161403984</v>
      </c>
      <c r="L45" s="199">
        <f>'HISTORICAL FS'!L29</f>
        <v>0.28607712630254101</v>
      </c>
    </row>
    <row r="46" spans="2:12" x14ac:dyDescent="0.35">
      <c r="B46" s="180" t="s">
        <v>352</v>
      </c>
      <c r="C46" s="180"/>
      <c r="D46" s="180"/>
      <c r="E46" s="180"/>
      <c r="F46" s="171"/>
      <c r="G46" s="171"/>
      <c r="H46" s="171">
        <f>H44*(1-H45)</f>
        <v>51391.290260074478</v>
      </c>
      <c r="I46" s="171">
        <f t="shared" ref="I46:L46" si="9">I44*(1-I45)</f>
        <v>59202.020633808308</v>
      </c>
      <c r="J46" s="171">
        <f t="shared" si="9"/>
        <v>76802.035563534038</v>
      </c>
      <c r="K46" s="171">
        <f t="shared" si="9"/>
        <v>79247.448909066283</v>
      </c>
      <c r="L46" s="171">
        <f t="shared" si="9"/>
        <v>80289.194221763639</v>
      </c>
    </row>
    <row r="47" spans="2:12" x14ac:dyDescent="0.35">
      <c r="B47" s="180"/>
      <c r="C47" s="180"/>
      <c r="D47" s="180"/>
      <c r="F47" s="172"/>
      <c r="G47" s="172"/>
      <c r="H47" s="172"/>
      <c r="I47" s="172"/>
      <c r="J47" s="172"/>
    </row>
    <row r="48" spans="2:12" x14ac:dyDescent="0.35">
      <c r="B48" t="s">
        <v>353</v>
      </c>
      <c r="G48" s="47"/>
      <c r="H48" s="47"/>
      <c r="I48" s="47">
        <f>I41+I42</f>
        <v>45446</v>
      </c>
      <c r="J48" s="47">
        <f t="shared" ref="J48:L48" si="10">J41+J42</f>
        <v>112170</v>
      </c>
      <c r="K48" s="47">
        <f t="shared" si="10"/>
        <v>14582</v>
      </c>
      <c r="L48" s="47">
        <f t="shared" si="10"/>
        <v>76159</v>
      </c>
    </row>
    <row r="49" spans="2:16" ht="15" thickBot="1" x14ac:dyDescent="0.4">
      <c r="E49" s="158"/>
      <c r="F49" s="159"/>
      <c r="G49" s="159"/>
      <c r="H49" s="159"/>
      <c r="I49" s="159"/>
      <c r="J49" s="159"/>
      <c r="K49" s="159"/>
      <c r="L49" s="159"/>
      <c r="M49" s="32"/>
      <c r="N49" s="161"/>
    </row>
    <row r="50" spans="2:16" ht="15.5" thickTop="1" thickBot="1" x14ac:dyDescent="0.4">
      <c r="B50" s="157" t="s">
        <v>354</v>
      </c>
      <c r="C50" s="158"/>
      <c r="D50" s="158"/>
      <c r="I50" s="36">
        <f>I48/I46</f>
        <v>0.76764271748601931</v>
      </c>
      <c r="J50" s="36">
        <f t="shared" ref="J50:L50" si="11">J48/J46</f>
        <v>1.4605081646202986</v>
      </c>
      <c r="K50" s="36">
        <f t="shared" si="11"/>
        <v>0.18400592322829651</v>
      </c>
      <c r="L50" s="36">
        <f t="shared" si="11"/>
        <v>0.94855852942855812</v>
      </c>
      <c r="M50" s="32"/>
      <c r="N50" s="32" t="s">
        <v>363</v>
      </c>
      <c r="O50" s="32"/>
      <c r="P50" s="161">
        <f>MEDIAN(I50:L50)</f>
        <v>0.85810062345728877</v>
      </c>
    </row>
    <row r="51" spans="2:16" ht="15" thickTop="1" x14ac:dyDescent="0.35">
      <c r="M51" s="32"/>
      <c r="N51" s="32"/>
      <c r="O51" s="32"/>
      <c r="P51" s="32"/>
    </row>
    <row r="52" spans="2:16" x14ac:dyDescent="0.35">
      <c r="B52" s="154" t="s">
        <v>361</v>
      </c>
      <c r="C52" s="154"/>
      <c r="D52" s="154"/>
      <c r="E52" s="154"/>
      <c r="F52" s="170"/>
      <c r="G52" s="170"/>
      <c r="H52" s="170">
        <f>H2</f>
        <v>44256</v>
      </c>
      <c r="I52" s="170">
        <f t="shared" ref="I52:L52" si="12">I2</f>
        <v>44621</v>
      </c>
      <c r="J52" s="170">
        <f t="shared" si="12"/>
        <v>44986</v>
      </c>
      <c r="K52" s="170">
        <f t="shared" si="12"/>
        <v>45352</v>
      </c>
      <c r="L52" s="170">
        <f t="shared" si="12"/>
        <v>45717</v>
      </c>
      <c r="M52" s="32"/>
      <c r="N52" s="32"/>
      <c r="O52" s="32"/>
      <c r="P52" s="32"/>
    </row>
    <row r="53" spans="2:16" x14ac:dyDescent="0.35">
      <c r="B53" t="s">
        <v>354</v>
      </c>
      <c r="I53" s="84">
        <f>I50</f>
        <v>0.76764271748601931</v>
      </c>
      <c r="J53" s="84">
        <f t="shared" ref="J53:L53" si="13">J50</f>
        <v>1.4605081646202986</v>
      </c>
      <c r="K53" s="84">
        <f t="shared" si="13"/>
        <v>0.18400592322829651</v>
      </c>
      <c r="L53" s="84">
        <f t="shared" si="13"/>
        <v>0.94855852942855812</v>
      </c>
      <c r="M53" s="32"/>
      <c r="N53" s="201"/>
      <c r="O53" s="32"/>
      <c r="P53" s="32"/>
    </row>
    <row r="54" spans="2:16" x14ac:dyDescent="0.35">
      <c r="B54" s="180" t="s">
        <v>348</v>
      </c>
      <c r="C54" s="180"/>
      <c r="D54" s="180"/>
      <c r="E54" s="180"/>
      <c r="F54" s="171"/>
      <c r="G54" s="186"/>
      <c r="H54" s="186"/>
      <c r="I54" s="186">
        <f>H36</f>
        <v>9.5083266691920257E-2</v>
      </c>
      <c r="J54" s="186">
        <f t="shared" ref="J54:L54" si="14">I36</f>
        <v>0.1302045294566701</v>
      </c>
      <c r="K54" s="186">
        <f t="shared" si="14"/>
        <v>0.14945741749185795</v>
      </c>
      <c r="L54" s="186">
        <f t="shared" si="14"/>
        <v>0.1816430935901294</v>
      </c>
      <c r="M54" s="32"/>
      <c r="N54" s="32"/>
      <c r="O54" s="32"/>
      <c r="P54" s="32"/>
    </row>
    <row r="55" spans="2:16" x14ac:dyDescent="0.35">
      <c r="G55" s="146"/>
      <c r="H55" s="146"/>
      <c r="I55" s="146"/>
      <c r="J55" s="146"/>
      <c r="M55" s="32"/>
      <c r="N55" s="32"/>
      <c r="O55" s="32"/>
      <c r="P55" s="32"/>
    </row>
    <row r="56" spans="2:16" x14ac:dyDescent="0.35">
      <c r="B56" t="s">
        <v>355</v>
      </c>
      <c r="I56" s="36">
        <f>I54*I53</f>
        <v>7.2989977230833572E-2</v>
      </c>
      <c r="J56" s="36">
        <f t="shared" ref="J56:L56" si="15">J54*J53</f>
        <v>0.19016477834201087</v>
      </c>
      <c r="K56" s="36">
        <f t="shared" si="15"/>
        <v>2.7501050088906274E-2</v>
      </c>
      <c r="L56" s="36">
        <f t="shared" si="15"/>
        <v>0.17229910573670709</v>
      </c>
      <c r="M56" s="32"/>
      <c r="N56" s="32" t="s">
        <v>363</v>
      </c>
      <c r="O56" s="32"/>
      <c r="P56" s="161">
        <f>MEDIAN(I56:L56)</f>
        <v>0.12264454148377033</v>
      </c>
    </row>
    <row r="57" spans="2:16" ht="15" thickBot="1" x14ac:dyDescent="0.4">
      <c r="B57" s="157"/>
      <c r="C57" s="158"/>
      <c r="D57" s="158"/>
      <c r="E57" s="158"/>
      <c r="F57" s="159"/>
      <c r="G57" s="159"/>
      <c r="H57" s="159"/>
      <c r="I57" s="159"/>
      <c r="J57" s="159"/>
      <c r="K57" s="159"/>
      <c r="L57" s="159"/>
      <c r="N57" s="161"/>
    </row>
    <row r="58" spans="2:16" ht="15" thickTop="1" x14ac:dyDescent="0.35"/>
  </sheetData>
  <pageMargins left="0.7" right="0.7" top="0.75" bottom="0.75" header="0.3" footer="0.3"/>
  <pageSetup orientation="portrait" r:id="rId1"/>
  <ignoredErrors>
    <ignoredError sqref="H41:L4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1640625" defaultRowHeight="14.5" x14ac:dyDescent="0.35"/>
  <cols>
    <col min="1" max="1" width="20.6328125" style="6" customWidth="1"/>
    <col min="2" max="6" width="13.453125" style="6" customWidth="1"/>
    <col min="7" max="7" width="14.81640625" style="6" bestFit="1" customWidth="1"/>
    <col min="8" max="11" width="13.453125" style="6" customWidth="1"/>
    <col min="12" max="12" width="13.36328125" style="6" customWidth="1"/>
    <col min="13" max="14" width="12.1796875" style="6" customWidth="1"/>
    <col min="15" max="16384" width="8.81640625" style="6"/>
  </cols>
  <sheetData>
    <row r="1" spans="1:14" s="8" customFormat="1" x14ac:dyDescent="0.35">
      <c r="A1" s="8" t="str">
        <f>'Data Sheet'!B1</f>
        <v>RELIANCE INDUSTRIES LTD</v>
      </c>
      <c r="H1" t="str">
        <f>UPDATE</f>
        <v/>
      </c>
      <c r="J1" s="3"/>
      <c r="K1" s="3"/>
      <c r="M1" s="8" t="s">
        <v>1</v>
      </c>
    </row>
    <row r="3" spans="1:14" s="2" customFormat="1" x14ac:dyDescent="0.35">
      <c r="A3" s="15" t="s">
        <v>2</v>
      </c>
      <c r="B3" s="16">
        <f>'Data Sheet'!B16</f>
        <v>42460</v>
      </c>
      <c r="C3" s="16">
        <f>'Data Sheet'!C16</f>
        <v>42825</v>
      </c>
      <c r="D3" s="16">
        <f>'Data Sheet'!D16</f>
        <v>43190</v>
      </c>
      <c r="E3" s="16">
        <f>'Data Sheet'!E16</f>
        <v>43555</v>
      </c>
      <c r="F3" s="16">
        <f>'Data Sheet'!F16</f>
        <v>43921</v>
      </c>
      <c r="G3" s="16">
        <f>'Data Sheet'!G16</f>
        <v>44286</v>
      </c>
      <c r="H3" s="16">
        <f>'Data Sheet'!H16</f>
        <v>44651</v>
      </c>
      <c r="I3" s="16">
        <f>'Data Sheet'!I16</f>
        <v>45016</v>
      </c>
      <c r="J3" s="16">
        <f>'Data Sheet'!J16</f>
        <v>45382</v>
      </c>
      <c r="K3" s="16">
        <f>'Data Sheet'!K16</f>
        <v>45747</v>
      </c>
      <c r="L3" s="17" t="s">
        <v>3</v>
      </c>
      <c r="M3" s="17" t="s">
        <v>4</v>
      </c>
      <c r="N3" s="17" t="s">
        <v>5</v>
      </c>
    </row>
    <row r="4" spans="1:14" s="8" customFormat="1" x14ac:dyDescent="0.35">
      <c r="A4" s="8" t="s">
        <v>6</v>
      </c>
      <c r="B4" s="1">
        <f>'Data Sheet'!B17</f>
        <v>272583</v>
      </c>
      <c r="C4" s="1">
        <f>'Data Sheet'!C17</f>
        <v>303954</v>
      </c>
      <c r="D4" s="1">
        <f>'Data Sheet'!D17</f>
        <v>390823</v>
      </c>
      <c r="E4" s="1">
        <f>'Data Sheet'!E17</f>
        <v>568337</v>
      </c>
      <c r="F4" s="1">
        <f>'Data Sheet'!F17</f>
        <v>596679</v>
      </c>
      <c r="G4" s="1">
        <f>'Data Sheet'!G17</f>
        <v>466307</v>
      </c>
      <c r="H4" s="1">
        <f>'Data Sheet'!H17</f>
        <v>694673</v>
      </c>
      <c r="I4" s="1">
        <f>'Data Sheet'!I17</f>
        <v>876396</v>
      </c>
      <c r="J4" s="1">
        <f>'Data Sheet'!J17</f>
        <v>899041</v>
      </c>
      <c r="K4" s="1">
        <f>'Data Sheet'!K17</f>
        <v>962820</v>
      </c>
      <c r="L4" s="1">
        <f>SUM(Quarters!H4:K4)</f>
        <v>999629</v>
      </c>
      <c r="M4" s="1">
        <f>$K4+M23*K4</f>
        <v>1073494.9297121183</v>
      </c>
      <c r="N4" s="1">
        <f>$K4+N23*L4</f>
        <v>1033734.8281235227</v>
      </c>
    </row>
    <row r="5" spans="1:14" x14ac:dyDescent="0.35">
      <c r="A5" s="6" t="s">
        <v>7</v>
      </c>
      <c r="B5" s="9">
        <f>SUM('Data Sheet'!B18,'Data Sheet'!B20:B24, -1*'Data Sheet'!B19)</f>
        <v>230802</v>
      </c>
      <c r="C5" s="9">
        <f>SUM('Data Sheet'!C18,'Data Sheet'!C20:C24, -1*'Data Sheet'!C19)</f>
        <v>257647</v>
      </c>
      <c r="D5" s="9">
        <f>SUM('Data Sheet'!D18,'Data Sheet'!D20:D24, -1*'Data Sheet'!D19)</f>
        <v>326508</v>
      </c>
      <c r="E5" s="9">
        <f>SUM('Data Sheet'!E18,'Data Sheet'!E20:E24, -1*'Data Sheet'!E19)</f>
        <v>484087</v>
      </c>
      <c r="F5" s="9">
        <f>SUM('Data Sheet'!F18,'Data Sheet'!F20:F24, -1*'Data Sheet'!F19)</f>
        <v>507413</v>
      </c>
      <c r="G5" s="9">
        <f>SUM('Data Sheet'!G18,'Data Sheet'!G20:G24, -1*'Data Sheet'!G19)</f>
        <v>385517</v>
      </c>
      <c r="H5" s="9">
        <f>SUM('Data Sheet'!H18,'Data Sheet'!H20:H24, -1*'Data Sheet'!H19)</f>
        <v>586092</v>
      </c>
      <c r="I5" s="9">
        <f>SUM('Data Sheet'!I18,'Data Sheet'!I20:I24, -1*'Data Sheet'!I19)</f>
        <v>734078</v>
      </c>
      <c r="J5" s="9">
        <f>SUM('Data Sheet'!J18,'Data Sheet'!J20:J24, -1*'Data Sheet'!J19)</f>
        <v>736543</v>
      </c>
      <c r="K5" s="9">
        <f>SUM('Data Sheet'!K18,'Data Sheet'!K20:K24, -1*'Data Sheet'!K19)</f>
        <v>797222</v>
      </c>
      <c r="L5" s="9">
        <f>SUM(Quarters!H5:K5)</f>
        <v>823218</v>
      </c>
      <c r="M5" s="9">
        <f>M4-M6</f>
        <v>884048.33097854373</v>
      </c>
      <c r="N5" s="9">
        <f>N4-N6</f>
        <v>864798.83123170142</v>
      </c>
    </row>
    <row r="6" spans="1:14" s="8" customFormat="1" x14ac:dyDescent="0.35">
      <c r="A6" s="8" t="s">
        <v>8</v>
      </c>
      <c r="B6" s="1">
        <f>B4-B5</f>
        <v>41781</v>
      </c>
      <c r="C6" s="1">
        <f t="shared" ref="C6:K6" si="0">C4-C5</f>
        <v>46307</v>
      </c>
      <c r="D6" s="1">
        <f t="shared" si="0"/>
        <v>64315</v>
      </c>
      <c r="E6" s="1">
        <f t="shared" si="0"/>
        <v>84250</v>
      </c>
      <c r="F6" s="1">
        <f t="shared" si="0"/>
        <v>89266</v>
      </c>
      <c r="G6" s="1">
        <f t="shared" si="0"/>
        <v>80790</v>
      </c>
      <c r="H6" s="1">
        <f t="shared" si="0"/>
        <v>108581</v>
      </c>
      <c r="I6" s="1">
        <f t="shared" si="0"/>
        <v>142318</v>
      </c>
      <c r="J6" s="1">
        <f t="shared" si="0"/>
        <v>162498</v>
      </c>
      <c r="K6" s="1">
        <f t="shared" si="0"/>
        <v>165598</v>
      </c>
      <c r="L6" s="1">
        <f>SUM(Quarters!H6:K6)</f>
        <v>176411</v>
      </c>
      <c r="M6" s="1">
        <f>M4*M24</f>
        <v>189446.59873357468</v>
      </c>
      <c r="N6" s="1">
        <f>N4*N24</f>
        <v>168935.9968918213</v>
      </c>
    </row>
    <row r="7" spans="1:14" x14ac:dyDescent="0.35">
      <c r="A7" s="6" t="s">
        <v>9</v>
      </c>
      <c r="B7" s="9">
        <f>'Data Sheet'!B25</f>
        <v>12212</v>
      </c>
      <c r="C7" s="9">
        <f>'Data Sheet'!C25</f>
        <v>9222</v>
      </c>
      <c r="D7" s="9">
        <f>'Data Sheet'!D25</f>
        <v>9869</v>
      </c>
      <c r="E7" s="9">
        <f>'Data Sheet'!E25</f>
        <v>8406</v>
      </c>
      <c r="F7" s="9">
        <f>'Data Sheet'!F25</f>
        <v>8570</v>
      </c>
      <c r="G7" s="9">
        <f>'Data Sheet'!G25</f>
        <v>22432</v>
      </c>
      <c r="H7" s="9">
        <f>'Data Sheet'!H25</f>
        <v>19600</v>
      </c>
      <c r="I7" s="9">
        <f>'Data Sheet'!I25</f>
        <v>12020</v>
      </c>
      <c r="J7" s="9">
        <f>'Data Sheet'!J25</f>
        <v>15792</v>
      </c>
      <c r="K7" s="9">
        <f>'Data Sheet'!K25</f>
        <v>17824</v>
      </c>
      <c r="L7" s="9">
        <f>SUM(Quarters!H7:K7)</f>
        <v>28720</v>
      </c>
      <c r="M7" s="9">
        <v>0</v>
      </c>
      <c r="N7" s="9">
        <v>0</v>
      </c>
    </row>
    <row r="8" spans="1:14" x14ac:dyDescent="0.35">
      <c r="A8" s="6" t="s">
        <v>10</v>
      </c>
      <c r="B8" s="9">
        <f>'Data Sheet'!B26</f>
        <v>11565</v>
      </c>
      <c r="C8" s="9">
        <f>'Data Sheet'!C26</f>
        <v>11646</v>
      </c>
      <c r="D8" s="9">
        <f>'Data Sheet'!D26</f>
        <v>16706</v>
      </c>
      <c r="E8" s="9">
        <f>'Data Sheet'!E26</f>
        <v>20934</v>
      </c>
      <c r="F8" s="9">
        <f>'Data Sheet'!F26</f>
        <v>22203</v>
      </c>
      <c r="G8" s="9">
        <f>'Data Sheet'!G26</f>
        <v>26572</v>
      </c>
      <c r="H8" s="9">
        <f>'Data Sheet'!H26</f>
        <v>29782</v>
      </c>
      <c r="I8" s="9">
        <f>'Data Sheet'!I26</f>
        <v>40303</v>
      </c>
      <c r="J8" s="9">
        <f>'Data Sheet'!J26</f>
        <v>50832</v>
      </c>
      <c r="K8" s="9">
        <f>'Data Sheet'!K26</f>
        <v>53136</v>
      </c>
      <c r="L8" s="9">
        <f>SUM(Quarters!H8:K8)</f>
        <v>54918</v>
      </c>
      <c r="M8" s="9">
        <f>+$L8</f>
        <v>54918</v>
      </c>
      <c r="N8" s="9">
        <f>+$L8</f>
        <v>54918</v>
      </c>
    </row>
    <row r="9" spans="1:14" x14ac:dyDescent="0.35">
      <c r="A9" s="6" t="s">
        <v>11</v>
      </c>
      <c r="B9" s="9">
        <f>'Data Sheet'!B27</f>
        <v>3691</v>
      </c>
      <c r="C9" s="9">
        <f>'Data Sheet'!C27</f>
        <v>3849</v>
      </c>
      <c r="D9" s="9">
        <f>'Data Sheet'!D27</f>
        <v>8052</v>
      </c>
      <c r="E9" s="9">
        <f>'Data Sheet'!E27</f>
        <v>16495</v>
      </c>
      <c r="F9" s="9">
        <f>'Data Sheet'!F27</f>
        <v>22027</v>
      </c>
      <c r="G9" s="9">
        <f>'Data Sheet'!G27</f>
        <v>21189</v>
      </c>
      <c r="H9" s="9">
        <f>'Data Sheet'!H27</f>
        <v>14584</v>
      </c>
      <c r="I9" s="9">
        <f>'Data Sheet'!I27</f>
        <v>19571</v>
      </c>
      <c r="J9" s="9">
        <f>'Data Sheet'!J27</f>
        <v>23118</v>
      </c>
      <c r="K9" s="9">
        <f>'Data Sheet'!K27</f>
        <v>24269</v>
      </c>
      <c r="L9" s="9">
        <f>SUM(Quarters!H9:K9)</f>
        <v>26197</v>
      </c>
      <c r="M9" s="9">
        <f>+$L9</f>
        <v>26197</v>
      </c>
      <c r="N9" s="9">
        <f>+$L9</f>
        <v>26197</v>
      </c>
    </row>
    <row r="10" spans="1:14" x14ac:dyDescent="0.35">
      <c r="A10" s="6" t="s">
        <v>12</v>
      </c>
      <c r="B10" s="9">
        <f>'Data Sheet'!B28</f>
        <v>38737</v>
      </c>
      <c r="C10" s="9">
        <f>'Data Sheet'!C28</f>
        <v>40034</v>
      </c>
      <c r="D10" s="9">
        <f>'Data Sheet'!D28</f>
        <v>49426</v>
      </c>
      <c r="E10" s="9">
        <f>'Data Sheet'!E28</f>
        <v>55227</v>
      </c>
      <c r="F10" s="9">
        <f>'Data Sheet'!F28</f>
        <v>53606</v>
      </c>
      <c r="G10" s="9">
        <f>'Data Sheet'!G28</f>
        <v>55461</v>
      </c>
      <c r="H10" s="9">
        <f>'Data Sheet'!H28</f>
        <v>83815</v>
      </c>
      <c r="I10" s="9">
        <f>'Data Sheet'!I28</f>
        <v>94464</v>
      </c>
      <c r="J10" s="9">
        <f>'Data Sheet'!J28</f>
        <v>104340</v>
      </c>
      <c r="K10" s="9">
        <f>'Data Sheet'!K28</f>
        <v>106017</v>
      </c>
      <c r="L10" s="9">
        <f>SUM(Quarters!H10:K10)</f>
        <v>124016</v>
      </c>
      <c r="M10" s="9">
        <f>M6+M7-SUM(M8:M9)</f>
        <v>108331.59873357468</v>
      </c>
      <c r="N10" s="9">
        <f>N6+N7-SUM(N8:N9)</f>
        <v>87820.996891821298</v>
      </c>
    </row>
    <row r="11" spans="1:14" x14ac:dyDescent="0.35">
      <c r="A11" s="6" t="s">
        <v>13</v>
      </c>
      <c r="B11" s="9">
        <f>'Data Sheet'!B29</f>
        <v>8876</v>
      </c>
      <c r="C11" s="9">
        <f>'Data Sheet'!C29</f>
        <v>10201</v>
      </c>
      <c r="D11" s="9">
        <f>'Data Sheet'!D29</f>
        <v>13346</v>
      </c>
      <c r="E11" s="9">
        <f>'Data Sheet'!E29</f>
        <v>15390</v>
      </c>
      <c r="F11" s="9">
        <f>'Data Sheet'!F29</f>
        <v>13726</v>
      </c>
      <c r="G11" s="9">
        <f>'Data Sheet'!G29</f>
        <v>1722</v>
      </c>
      <c r="H11" s="9">
        <f>'Data Sheet'!H29</f>
        <v>15970</v>
      </c>
      <c r="I11" s="9">
        <f>'Data Sheet'!I29</f>
        <v>20376</v>
      </c>
      <c r="J11" s="9">
        <f>'Data Sheet'!J29</f>
        <v>25707</v>
      </c>
      <c r="K11" s="9">
        <f>'Data Sheet'!K29</f>
        <v>25230</v>
      </c>
      <c r="L11" s="9">
        <f>SUM(Quarters!H11:K11)</f>
        <v>26951</v>
      </c>
      <c r="M11" s="10">
        <f>IF($L10&gt;0,$L11/$L10,0)</f>
        <v>0.21731873306670108</v>
      </c>
      <c r="N11" s="10">
        <f>IF($L10&gt;0,$L11/$L10,0)</f>
        <v>0.21731873306670108</v>
      </c>
    </row>
    <row r="12" spans="1:14" s="8" customFormat="1" x14ac:dyDescent="0.35">
      <c r="A12" s="8" t="s">
        <v>14</v>
      </c>
      <c r="B12" s="1">
        <f>'Data Sheet'!B30</f>
        <v>29745</v>
      </c>
      <c r="C12" s="1">
        <f>'Data Sheet'!C30</f>
        <v>29901</v>
      </c>
      <c r="D12" s="1">
        <f>'Data Sheet'!D30</f>
        <v>36075</v>
      </c>
      <c r="E12" s="1">
        <f>'Data Sheet'!E30</f>
        <v>39588</v>
      </c>
      <c r="F12" s="1">
        <f>'Data Sheet'!F30</f>
        <v>39354</v>
      </c>
      <c r="G12" s="1">
        <f>'Data Sheet'!G30</f>
        <v>49128</v>
      </c>
      <c r="H12" s="1">
        <f>'Data Sheet'!H30</f>
        <v>60705</v>
      </c>
      <c r="I12" s="1">
        <f>'Data Sheet'!I30</f>
        <v>66702</v>
      </c>
      <c r="J12" s="1">
        <f>'Data Sheet'!J30</f>
        <v>69621</v>
      </c>
      <c r="K12" s="1">
        <f>'Data Sheet'!K30</f>
        <v>69648</v>
      </c>
      <c r="L12" s="1">
        <f>SUM(Quarters!H12:K12)</f>
        <v>83106</v>
      </c>
      <c r="M12" s="1">
        <f>M10-M11*M10</f>
        <v>84789.112945703993</v>
      </c>
      <c r="N12" s="1">
        <f>N10-N11*N10</f>
        <v>68735.849110636002</v>
      </c>
    </row>
    <row r="13" spans="1:14" x14ac:dyDescent="0.35">
      <c r="A13" s="11" t="s">
        <v>57</v>
      </c>
      <c r="B13" s="9">
        <f>IF('Data Sheet'!B93&gt;0,B12/'Data Sheet'!B93,0)</f>
        <v>21.514125764874365</v>
      </c>
      <c r="C13" s="9">
        <f>IF('Data Sheet'!C93&gt;0,C12/'Data Sheet'!C93,0)</f>
        <v>21.554620031429767</v>
      </c>
      <c r="D13" s="9">
        <f>IF('Data Sheet'!D93&gt;0,D12/'Data Sheet'!D93,0)</f>
        <v>26.694736530535224</v>
      </c>
      <c r="E13" s="9">
        <f>IF('Data Sheet'!E93&gt;0,E12/'Data Sheet'!E93,0)</f>
        <v>29.275435197373287</v>
      </c>
      <c r="F13" s="9">
        <f>IF('Data Sheet'!F93&gt;0,F12/'Data Sheet'!F93,0)</f>
        <v>29.100024401606071</v>
      </c>
      <c r="G13" s="9">
        <f>IF('Data Sheet'!G93&gt;0,G12/'Data Sheet'!G93,0)</f>
        <v>38.747840901024531</v>
      </c>
      <c r="H13" s="9">
        <f>IF('Data Sheet'!H93&gt;0,H12/'Data Sheet'!H93,0)</f>
        <v>44.867625537701961</v>
      </c>
      <c r="I13" s="9">
        <f>IF('Data Sheet'!I93&gt;0,I12/'Data Sheet'!I93,0)</f>
        <v>49.294962752749207</v>
      </c>
      <c r="J13" s="9">
        <f>IF('Data Sheet'!J93&gt;0,J12/'Data Sheet'!J93,0)</f>
        <v>51.45143887550438</v>
      </c>
      <c r="K13" s="9">
        <f>IF('Data Sheet'!K93&gt;0,K12/'Data Sheet'!K93,0)</f>
        <v>51.467588897756492</v>
      </c>
      <c r="L13" s="9">
        <f>IF('Data Sheet'!$B6&gt;0,'Profit &amp; Loss'!L12/'Data Sheet'!$B6,0)</f>
        <v>61.416437574076177</v>
      </c>
      <c r="M13" s="9">
        <f>IF('Data Sheet'!$B6&gt;0,'Profit &amp; Loss'!M12/'Data Sheet'!$B6,0)</f>
        <v>62.660280391200679</v>
      </c>
      <c r="N13" s="9">
        <f>IF('Data Sheet'!$B6&gt;0,'Profit &amp; Loss'!N12/'Data Sheet'!$B6,0)</f>
        <v>50.796705243959472</v>
      </c>
    </row>
    <row r="14" spans="1:14" x14ac:dyDescent="0.35">
      <c r="A14" s="6" t="s">
        <v>16</v>
      </c>
      <c r="B14" s="9">
        <f>IF(B15&gt;0,B15/B13,"")</f>
        <v>11.037399455370652</v>
      </c>
      <c r="C14" s="9">
        <f t="shared" ref="C14:K14" si="1">IF(C15&gt;0,C15/C13,"")</f>
        <v>13.92230526738236</v>
      </c>
      <c r="D14" s="9">
        <f t="shared" si="1"/>
        <v>15.02468471794872</v>
      </c>
      <c r="E14" s="9">
        <f t="shared" si="1"/>
        <v>21.158694851975344</v>
      </c>
      <c r="F14" s="9">
        <f t="shared" si="1"/>
        <v>17.390363424302485</v>
      </c>
      <c r="G14" s="9">
        <f t="shared" si="1"/>
        <v>23.71177280166097</v>
      </c>
      <c r="H14" s="9">
        <f t="shared" si="1"/>
        <v>26.935011280784121</v>
      </c>
      <c r="I14" s="9">
        <f t="shared" si="1"/>
        <v>21.690045803724026</v>
      </c>
      <c r="J14" s="9">
        <f t="shared" si="1"/>
        <v>28.87868701972106</v>
      </c>
      <c r="K14" s="9">
        <f t="shared" si="1"/>
        <v>24.774815127498275</v>
      </c>
      <c r="L14" s="9">
        <f>IF(L13&gt;0,L15/L13,0)</f>
        <v>23.654905061006428</v>
      </c>
      <c r="M14" s="9">
        <f>M25</f>
        <v>24.749613252987448</v>
      </c>
      <c r="N14" s="9">
        <f>N25</f>
        <v>20.74351680103404</v>
      </c>
    </row>
    <row r="15" spans="1:14" s="8" customFormat="1" x14ac:dyDescent="0.35">
      <c r="A15" s="8" t="s">
        <v>58</v>
      </c>
      <c r="B15" s="1">
        <f>'Data Sheet'!B90</f>
        <v>237.46</v>
      </c>
      <c r="C15" s="1">
        <f>'Data Sheet'!C90</f>
        <v>300.08999999999997</v>
      </c>
      <c r="D15" s="1">
        <f>'Data Sheet'!D90</f>
        <v>401.08</v>
      </c>
      <c r="E15" s="1">
        <f>'Data Sheet'!E90</f>
        <v>619.42999999999995</v>
      </c>
      <c r="F15" s="1">
        <f>'Data Sheet'!F90</f>
        <v>506.06</v>
      </c>
      <c r="G15" s="1">
        <f>'Data Sheet'!G90</f>
        <v>918.78</v>
      </c>
      <c r="H15" s="1">
        <f>'Data Sheet'!H90</f>
        <v>1208.51</v>
      </c>
      <c r="I15" s="1">
        <f>'Data Sheet'!I90</f>
        <v>1069.21</v>
      </c>
      <c r="J15" s="1">
        <f>'Data Sheet'!J90</f>
        <v>1485.85</v>
      </c>
      <c r="K15" s="1">
        <f>'Data Sheet'!K90</f>
        <v>1275.0999999999999</v>
      </c>
      <c r="L15" s="1">
        <f>'Data Sheet'!B8</f>
        <v>1452.8</v>
      </c>
      <c r="M15" s="12">
        <f>M13*M14</f>
        <v>1550.8177060059697</v>
      </c>
      <c r="N15" s="13">
        <f>N13*N14</f>
        <v>1053.7023086652473</v>
      </c>
    </row>
    <row r="17" spans="1:14" s="8" customFormat="1" x14ac:dyDescent="0.35">
      <c r="A17" s="8" t="s">
        <v>15</v>
      </c>
    </row>
    <row r="18" spans="1:14" x14ac:dyDescent="0.35">
      <c r="A18" s="6" t="s">
        <v>17</v>
      </c>
      <c r="B18" s="7">
        <f>IF('Data Sheet'!B30&gt;0, 'Data Sheet'!B31/'Data Sheet'!B30, 0)</f>
        <v>0.10406454866364095</v>
      </c>
      <c r="C18" s="7">
        <f>IF('Data Sheet'!C30&gt;0, 'Data Sheet'!C31/'Data Sheet'!C30, 0)</f>
        <v>0.10885589110732083</v>
      </c>
      <c r="D18" s="7">
        <f>IF('Data Sheet'!D30&gt;0, 'Data Sheet'!D31/'Data Sheet'!D30, 0)</f>
        <v>9.8494802494802483E-2</v>
      </c>
      <c r="E18" s="7">
        <f>IF('Data Sheet'!E30&gt;0, 'Data Sheet'!E31/'Data Sheet'!E30, 0)</f>
        <v>9.7299686773769836E-2</v>
      </c>
      <c r="F18" s="7">
        <f>IF('Data Sheet'!F30&gt;0, 'Data Sheet'!F31/'Data Sheet'!F30, 0)</f>
        <v>0.10469964933678916</v>
      </c>
      <c r="G18" s="7">
        <f>IF('Data Sheet'!G30&gt;0, 'Data Sheet'!G31/'Data Sheet'!G30, 0)</f>
        <v>9.1831542094121477E-2</v>
      </c>
      <c r="H18" s="7">
        <f>IF('Data Sheet'!H30&gt;0, 'Data Sheet'!H31/'Data Sheet'!H30, 0)</f>
        <v>8.9152458611317029E-2</v>
      </c>
      <c r="I18" s="7">
        <f>IF('Data Sheet'!I30&gt;0, 'Data Sheet'!I31/'Data Sheet'!I30, 0)</f>
        <v>9.129261491409553E-2</v>
      </c>
      <c r="J18" s="7">
        <f>IF('Data Sheet'!J30&gt;0, 'Data Sheet'!J31/'Data Sheet'!J30, 0)</f>
        <v>9.718332112437339E-2</v>
      </c>
      <c r="K18" s="7">
        <f>IF('Data Sheet'!K30&gt;0, 'Data Sheet'!K31/'Data Sheet'!K30, 0)</f>
        <v>0.1068602113484953</v>
      </c>
    </row>
    <row r="19" spans="1:14" x14ac:dyDescent="0.35">
      <c r="A19" s="6" t="s">
        <v>18</v>
      </c>
      <c r="B19" s="7">
        <f>IF(B6&gt;0,B6/B4,0)</f>
        <v>0.15327808410649232</v>
      </c>
      <c r="C19" s="7">
        <f t="shared" ref="C19:K19" si="2">IF(C6&gt;0,C6/C4,0)</f>
        <v>0.15234871066016567</v>
      </c>
      <c r="D19" s="7">
        <f t="shared" si="2"/>
        <v>0.16456298631349742</v>
      </c>
      <c r="E19" s="7">
        <f t="shared" si="2"/>
        <v>0.14823951282425743</v>
      </c>
      <c r="F19" s="7">
        <f t="shared" si="2"/>
        <v>0.1496047288408005</v>
      </c>
      <c r="G19" s="7">
        <f t="shared" si="2"/>
        <v>0.17325495864312568</v>
      </c>
      <c r="H19" s="7">
        <f t="shared" si="2"/>
        <v>0.15630519683361813</v>
      </c>
      <c r="I19" s="7">
        <f t="shared" si="2"/>
        <v>0.16239006111392568</v>
      </c>
      <c r="J19" s="7">
        <f t="shared" si="2"/>
        <v>0.18074592816122959</v>
      </c>
      <c r="K19" s="7">
        <f t="shared" si="2"/>
        <v>0.17199268814524002</v>
      </c>
      <c r="L19" s="7">
        <f>IF(L6&gt;0,L6/L4,0)</f>
        <v>0.17647647277139819</v>
      </c>
    </row>
    <row r="20" spans="1:14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5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5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0.15051964164654885</v>
      </c>
      <c r="I23" s="7">
        <f>IF(D4=0,"",POWER($K4/D4,1/7)-1)</f>
        <v>0.13746451111719526</v>
      </c>
      <c r="J23" s="7">
        <f>IF(F4=0,"",POWER($K4/F4,1/5)-1)</f>
        <v>0.10042606829042566</v>
      </c>
      <c r="K23" s="7">
        <f>IF(H4=0,"",POWER($K4/H4, 1/3)-1)</f>
        <v>0.11494872324226568</v>
      </c>
      <c r="L23" s="7">
        <f>IF(ISERROR(MAX(IF(J4=0,"",(K4-J4)/J4),IF(K4=0,"",(L4-K4)/K4))),"",MAX(IF(J4=0,"",(K4-J4)/J4),IF(K4=0,"",(L4-K4)/K4)))</f>
        <v>7.0941147289167006E-2</v>
      </c>
      <c r="M23" s="22">
        <f>MAX(K23:L23)</f>
        <v>0.11494872324226568</v>
      </c>
      <c r="N23" s="22">
        <f>MIN(H23:L23)</f>
        <v>7.0941147289167006E-2</v>
      </c>
    </row>
    <row r="24" spans="1:14" x14ac:dyDescent="0.35">
      <c r="G24" s="6" t="s">
        <v>18</v>
      </c>
      <c r="H24" s="7">
        <f>IF(SUM(B4:$K$4)=0,"",SUMPRODUCT(B19:$K$19,B4:$K$4)/SUM(B4:$K$4))</f>
        <v>0.16342295170462695</v>
      </c>
      <c r="I24" s="7">
        <f>IF(SUM(E4:$K$4)=0,"",SUMPRODUCT(E19:$K$19,E4:$K$4)/SUM(E4:$K$4))</f>
        <v>0.16454568916679321</v>
      </c>
      <c r="J24" s="7">
        <f>IF(SUM(G4:$K$4)=0,"",SUMPRODUCT(G19:$K$19,G4:$K$4)/SUM(G4:$K$4))</f>
        <v>0.169208745198099</v>
      </c>
      <c r="K24" s="7">
        <f>IF(SUM(I4:$K$4)=0, "", SUMPRODUCT(I19:$K$19,I4:$K$4)/SUM(I4:$K$4))</f>
        <v>0.1717932246681009</v>
      </c>
      <c r="L24" s="7">
        <f>L19</f>
        <v>0.17647647277139819</v>
      </c>
      <c r="M24" s="22">
        <f>MAX(K24:L24)</f>
        <v>0.17647647277139819</v>
      </c>
      <c r="N24" s="22">
        <f>MIN(H24:L24)</f>
        <v>0.16342295170462695</v>
      </c>
    </row>
    <row r="25" spans="1:14" x14ac:dyDescent="0.35">
      <c r="G25" s="6" t="s">
        <v>23</v>
      </c>
      <c r="H25" s="9">
        <f>IF(ISERROR(AVERAGEIF(B14:$L14,"&gt;0")),"",AVERAGEIF(B14:$L14,"&gt;0"))</f>
        <v>20.74351680103404</v>
      </c>
      <c r="I25" s="9">
        <f>IF(ISERROR(AVERAGEIF(E14:$L14,"&gt;0")),"",AVERAGEIF(E14:$L14,"&gt;0"))</f>
        <v>23.524286921334088</v>
      </c>
      <c r="J25" s="9">
        <f>IF(ISERROR(AVERAGEIF(G14:$L14,"&gt;0")),"",AVERAGEIF(G14:$L14,"&gt;0"))</f>
        <v>24.940872849065812</v>
      </c>
      <c r="K25" s="9">
        <f>IF(ISERROR(AVERAGEIF(I14:$L14,"&gt;0")),"",AVERAGEIF(I14:$L14,"&gt;0"))</f>
        <v>24.749613252987448</v>
      </c>
      <c r="L25" s="9">
        <f>L14</f>
        <v>23.654905061006428</v>
      </c>
      <c r="M25" s="1">
        <f>MAX(K25:L25)</f>
        <v>24.749613252987448</v>
      </c>
      <c r="N25" s="1">
        <f>MIN(H25:L25)</f>
        <v>20.74351680103404</v>
      </c>
    </row>
  </sheetData>
  <hyperlinks>
    <hyperlink ref="M1" r:id="rId1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6328125" style="6" customWidth="1"/>
    <col min="2" max="11" width="13.453125" style="6" bestFit="1" customWidth="1"/>
    <col min="12" max="16384" width="8.81640625" style="6"/>
  </cols>
  <sheetData>
    <row r="1" spans="1:11" s="8" customFormat="1" x14ac:dyDescent="0.35">
      <c r="A1" s="8" t="str">
        <f>'Profit &amp; Loss'!A1</f>
        <v>RELIANCE INDUSTRIES LTD</v>
      </c>
      <c r="E1" t="str">
        <f>UPDATE</f>
        <v/>
      </c>
      <c r="J1" s="4" t="s">
        <v>1</v>
      </c>
      <c r="K1" s="4"/>
    </row>
    <row r="3" spans="1:11" s="2" customFormat="1" x14ac:dyDescent="0.35">
      <c r="A3" s="15" t="s">
        <v>2</v>
      </c>
      <c r="B3" s="16">
        <f>'Data Sheet'!B41</f>
        <v>45107</v>
      </c>
      <c r="C3" s="16">
        <f>'Data Sheet'!C41</f>
        <v>45199</v>
      </c>
      <c r="D3" s="16">
        <f>'Data Sheet'!D41</f>
        <v>45291</v>
      </c>
      <c r="E3" s="16">
        <f>'Data Sheet'!E41</f>
        <v>45382</v>
      </c>
      <c r="F3" s="16">
        <f>'Data Sheet'!F41</f>
        <v>45473</v>
      </c>
      <c r="G3" s="16">
        <f>'Data Sheet'!G41</f>
        <v>45565</v>
      </c>
      <c r="H3" s="16">
        <f>'Data Sheet'!H41</f>
        <v>45657</v>
      </c>
      <c r="I3" s="16">
        <f>'Data Sheet'!I41</f>
        <v>45747</v>
      </c>
      <c r="J3" s="16">
        <f>'Data Sheet'!J41</f>
        <v>45838</v>
      </c>
      <c r="K3" s="16">
        <f>'Data Sheet'!K41</f>
        <v>45930</v>
      </c>
    </row>
    <row r="4" spans="1:11" s="8" customFormat="1" x14ac:dyDescent="0.35">
      <c r="A4" s="8" t="s">
        <v>6</v>
      </c>
      <c r="B4" s="1">
        <f>'Data Sheet'!B42</f>
        <v>207559</v>
      </c>
      <c r="C4" s="1">
        <f>'Data Sheet'!C42</f>
        <v>231886</v>
      </c>
      <c r="D4" s="1">
        <f>'Data Sheet'!D42</f>
        <v>225086</v>
      </c>
      <c r="E4" s="1">
        <f>'Data Sheet'!E42</f>
        <v>236533</v>
      </c>
      <c r="F4" s="1">
        <f>'Data Sheet'!F42</f>
        <v>231784</v>
      </c>
      <c r="G4" s="1">
        <f>'Data Sheet'!G42</f>
        <v>231535</v>
      </c>
      <c r="H4" s="1">
        <f>'Data Sheet'!H42</f>
        <v>239986</v>
      </c>
      <c r="I4" s="1">
        <f>'Data Sheet'!I42</f>
        <v>261388</v>
      </c>
      <c r="J4" s="1">
        <f>'Data Sheet'!J42</f>
        <v>243632</v>
      </c>
      <c r="K4" s="1">
        <f>'Data Sheet'!K42</f>
        <v>254623</v>
      </c>
    </row>
    <row r="5" spans="1:11" x14ac:dyDescent="0.35">
      <c r="A5" s="6" t="s">
        <v>7</v>
      </c>
      <c r="B5" s="9">
        <f>'Data Sheet'!B43</f>
        <v>169466</v>
      </c>
      <c r="C5" s="9">
        <f>'Data Sheet'!C43</f>
        <v>190918</v>
      </c>
      <c r="D5" s="9">
        <f>'Data Sheet'!D43</f>
        <v>184430</v>
      </c>
      <c r="E5" s="9">
        <f>'Data Sheet'!E43</f>
        <v>194017</v>
      </c>
      <c r="F5" s="9">
        <f>'Data Sheet'!F43</f>
        <v>193019</v>
      </c>
      <c r="G5" s="9">
        <f>'Data Sheet'!G43</f>
        <v>192477</v>
      </c>
      <c r="H5" s="9">
        <f>'Data Sheet'!H43</f>
        <v>196197</v>
      </c>
      <c r="I5" s="9">
        <f>'Data Sheet'!I43</f>
        <v>217556</v>
      </c>
      <c r="J5" s="9">
        <f>'Data Sheet'!J43</f>
        <v>200727</v>
      </c>
      <c r="K5" s="9">
        <f>'Data Sheet'!K43</f>
        <v>208738</v>
      </c>
    </row>
    <row r="6" spans="1:11" s="8" customFormat="1" x14ac:dyDescent="0.35">
      <c r="A6" s="8" t="s">
        <v>8</v>
      </c>
      <c r="B6" s="1">
        <f>'Data Sheet'!B50</f>
        <v>38093</v>
      </c>
      <c r="C6" s="1">
        <f>'Data Sheet'!C50</f>
        <v>40968</v>
      </c>
      <c r="D6" s="1">
        <f>'Data Sheet'!D50</f>
        <v>40656</v>
      </c>
      <c r="E6" s="1">
        <f>'Data Sheet'!E50</f>
        <v>42516</v>
      </c>
      <c r="F6" s="1">
        <f>'Data Sheet'!F50</f>
        <v>38765</v>
      </c>
      <c r="G6" s="1">
        <f>'Data Sheet'!G50</f>
        <v>39058</v>
      </c>
      <c r="H6" s="1">
        <f>'Data Sheet'!H50</f>
        <v>43789</v>
      </c>
      <c r="I6" s="1">
        <f>'Data Sheet'!I50</f>
        <v>43832</v>
      </c>
      <c r="J6" s="1">
        <f>'Data Sheet'!J50</f>
        <v>42905</v>
      </c>
      <c r="K6" s="1">
        <f>'Data Sheet'!K50</f>
        <v>45885</v>
      </c>
    </row>
    <row r="7" spans="1:11" x14ac:dyDescent="0.35">
      <c r="A7" s="6" t="s">
        <v>9</v>
      </c>
      <c r="B7" s="9">
        <f>'Data Sheet'!B44</f>
        <v>3813</v>
      </c>
      <c r="C7" s="9">
        <f>'Data Sheet'!C44</f>
        <v>3841</v>
      </c>
      <c r="D7" s="9">
        <f>'Data Sheet'!D44</f>
        <v>3869</v>
      </c>
      <c r="E7" s="9">
        <f>'Data Sheet'!E44</f>
        <v>4534</v>
      </c>
      <c r="F7" s="9">
        <f>'Data Sheet'!F44</f>
        <v>3983</v>
      </c>
      <c r="G7" s="9">
        <f>'Data Sheet'!G44</f>
        <v>4876</v>
      </c>
      <c r="H7" s="9">
        <f>'Data Sheet'!H44</f>
        <v>4214</v>
      </c>
      <c r="I7" s="9">
        <f>'Data Sheet'!I44</f>
        <v>4905</v>
      </c>
      <c r="J7" s="9">
        <f>'Data Sheet'!J44</f>
        <v>15119</v>
      </c>
      <c r="K7" s="9">
        <f>'Data Sheet'!K44</f>
        <v>4482</v>
      </c>
    </row>
    <row r="8" spans="1:11" x14ac:dyDescent="0.35">
      <c r="A8" s="6" t="s">
        <v>10</v>
      </c>
      <c r="B8" s="9">
        <f>'Data Sheet'!B45</f>
        <v>11775</v>
      </c>
      <c r="C8" s="9">
        <f>'Data Sheet'!C45</f>
        <v>12585</v>
      </c>
      <c r="D8" s="9">
        <f>'Data Sheet'!D45</f>
        <v>12903</v>
      </c>
      <c r="E8" s="9">
        <f>'Data Sheet'!E45</f>
        <v>13569</v>
      </c>
      <c r="F8" s="9">
        <f>'Data Sheet'!F45</f>
        <v>13596</v>
      </c>
      <c r="G8" s="9">
        <f>'Data Sheet'!G45</f>
        <v>12880</v>
      </c>
      <c r="H8" s="9">
        <f>'Data Sheet'!H45</f>
        <v>13181</v>
      </c>
      <c r="I8" s="9">
        <f>'Data Sheet'!I45</f>
        <v>13479</v>
      </c>
      <c r="J8" s="9">
        <f>'Data Sheet'!J45</f>
        <v>13842</v>
      </c>
      <c r="K8" s="9">
        <f>'Data Sheet'!K45</f>
        <v>14416</v>
      </c>
    </row>
    <row r="9" spans="1:11" x14ac:dyDescent="0.35">
      <c r="A9" s="6" t="s">
        <v>11</v>
      </c>
      <c r="B9" s="9">
        <f>'Data Sheet'!B46</f>
        <v>5837</v>
      </c>
      <c r="C9" s="9">
        <f>'Data Sheet'!C46</f>
        <v>5731</v>
      </c>
      <c r="D9" s="9">
        <f>'Data Sheet'!D46</f>
        <v>5789</v>
      </c>
      <c r="E9" s="9">
        <f>'Data Sheet'!E46</f>
        <v>5761</v>
      </c>
      <c r="F9" s="9">
        <f>'Data Sheet'!F46</f>
        <v>5918</v>
      </c>
      <c r="G9" s="9">
        <f>'Data Sheet'!G46</f>
        <v>6017</v>
      </c>
      <c r="H9" s="9">
        <f>'Data Sheet'!H46</f>
        <v>6179</v>
      </c>
      <c r="I9" s="9">
        <f>'Data Sheet'!I46</f>
        <v>6155</v>
      </c>
      <c r="J9" s="9">
        <f>'Data Sheet'!J46</f>
        <v>7036</v>
      </c>
      <c r="K9" s="9">
        <f>'Data Sheet'!K46</f>
        <v>6827</v>
      </c>
    </row>
    <row r="10" spans="1:11" x14ac:dyDescent="0.35">
      <c r="A10" s="6" t="s">
        <v>12</v>
      </c>
      <c r="B10" s="9">
        <f>'Data Sheet'!B47</f>
        <v>24294</v>
      </c>
      <c r="C10" s="9">
        <f>'Data Sheet'!C47</f>
        <v>26493</v>
      </c>
      <c r="D10" s="9">
        <f>'Data Sheet'!D47</f>
        <v>25833</v>
      </c>
      <c r="E10" s="9">
        <f>'Data Sheet'!E47</f>
        <v>27720</v>
      </c>
      <c r="F10" s="9">
        <f>'Data Sheet'!F47</f>
        <v>23234</v>
      </c>
      <c r="G10" s="9">
        <f>'Data Sheet'!G47</f>
        <v>25037</v>
      </c>
      <c r="H10" s="9">
        <f>'Data Sheet'!H47</f>
        <v>28643</v>
      </c>
      <c r="I10" s="9">
        <f>'Data Sheet'!I47</f>
        <v>29103</v>
      </c>
      <c r="J10" s="9">
        <f>'Data Sheet'!J47</f>
        <v>37146</v>
      </c>
      <c r="K10" s="9">
        <f>'Data Sheet'!K47</f>
        <v>29124</v>
      </c>
    </row>
    <row r="11" spans="1:11" x14ac:dyDescent="0.35">
      <c r="A11" s="6" t="s">
        <v>13</v>
      </c>
      <c r="B11" s="9">
        <f>'Data Sheet'!B48</f>
        <v>6112</v>
      </c>
      <c r="C11" s="9">
        <f>'Data Sheet'!C48</f>
        <v>6673</v>
      </c>
      <c r="D11" s="9">
        <f>'Data Sheet'!D48</f>
        <v>6345</v>
      </c>
      <c r="E11" s="9">
        <f>'Data Sheet'!E48</f>
        <v>6577</v>
      </c>
      <c r="F11" s="9">
        <f>'Data Sheet'!F48</f>
        <v>5786</v>
      </c>
      <c r="G11" s="9">
        <f>'Data Sheet'!G48</f>
        <v>5936</v>
      </c>
      <c r="H11" s="9">
        <f>'Data Sheet'!H48</f>
        <v>6839</v>
      </c>
      <c r="I11" s="9">
        <f>'Data Sheet'!I48</f>
        <v>6669</v>
      </c>
      <c r="J11" s="9">
        <f>'Data Sheet'!J48</f>
        <v>6465</v>
      </c>
      <c r="K11" s="9">
        <f>'Data Sheet'!K48</f>
        <v>6978</v>
      </c>
    </row>
    <row r="12" spans="1:11" s="8" customFormat="1" x14ac:dyDescent="0.35">
      <c r="A12" s="8" t="s">
        <v>14</v>
      </c>
      <c r="B12" s="1">
        <f>'Data Sheet'!B49</f>
        <v>16011</v>
      </c>
      <c r="C12" s="1">
        <f>'Data Sheet'!C49</f>
        <v>17394</v>
      </c>
      <c r="D12" s="1">
        <f>'Data Sheet'!D49</f>
        <v>17265</v>
      </c>
      <c r="E12" s="1">
        <f>'Data Sheet'!E49</f>
        <v>18951</v>
      </c>
      <c r="F12" s="1">
        <f>'Data Sheet'!F49</f>
        <v>15138</v>
      </c>
      <c r="G12" s="1">
        <f>'Data Sheet'!G49</f>
        <v>16563</v>
      </c>
      <c r="H12" s="1">
        <f>'Data Sheet'!H49</f>
        <v>18540</v>
      </c>
      <c r="I12" s="1">
        <f>'Data Sheet'!I49</f>
        <v>19407</v>
      </c>
      <c r="J12" s="1">
        <f>'Data Sheet'!J49</f>
        <v>26994</v>
      </c>
      <c r="K12" s="1">
        <f>'Data Sheet'!K49</f>
        <v>18165</v>
      </c>
    </row>
    <row r="14" spans="1:11" s="8" customFormat="1" x14ac:dyDescent="0.35">
      <c r="A14" s="2" t="s">
        <v>18</v>
      </c>
      <c r="B14" s="14">
        <f>IF(B4&gt;0,B6/B4,"")</f>
        <v>0.18352853887328421</v>
      </c>
      <c r="C14" s="14">
        <f t="shared" ref="C14:K14" si="0">IF(C4&gt;0,C6/C4,"")</f>
        <v>0.17667302036345445</v>
      </c>
      <c r="D14" s="14">
        <f t="shared" si="0"/>
        <v>0.18062429471402042</v>
      </c>
      <c r="E14" s="14">
        <f t="shared" si="0"/>
        <v>0.17974658927084169</v>
      </c>
      <c r="F14" s="14">
        <f t="shared" si="0"/>
        <v>0.16724622924792049</v>
      </c>
      <c r="G14" s="14">
        <f t="shared" si="0"/>
        <v>0.16869155851167211</v>
      </c>
      <c r="H14" s="14">
        <f t="shared" si="0"/>
        <v>0.18246481044727608</v>
      </c>
      <c r="I14" s="14">
        <f t="shared" si="0"/>
        <v>0.16768941190873338</v>
      </c>
      <c r="J14" s="14">
        <f t="shared" si="0"/>
        <v>0.17610576607342221</v>
      </c>
      <c r="K14" s="14">
        <f t="shared" si="0"/>
        <v>0.18020760104153985</v>
      </c>
    </row>
    <row r="22" s="30" customFormat="1" x14ac:dyDescent="0.35"/>
  </sheetData>
  <hyperlinks>
    <hyperlink ref="J1" r:id="rId1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25"/>
  <sheetViews>
    <sheetView zoomScale="125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1640625" defaultRowHeight="14.5" x14ac:dyDescent="0.35"/>
  <cols>
    <col min="1" max="1" width="22.81640625" style="11" bestFit="1" customWidth="1"/>
    <col min="2" max="2" width="13.453125" style="11" customWidth="1"/>
    <col min="3" max="11" width="15.453125" style="11" customWidth="1"/>
    <col min="12" max="16384" width="8.81640625" style="11"/>
  </cols>
  <sheetData>
    <row r="1" spans="1:11" s="8" customFormat="1" x14ac:dyDescent="0.35">
      <c r="A1" s="8" t="str">
        <f>'Profit &amp; Loss'!A1</f>
        <v>RELIANCE INDUSTRIES LTD</v>
      </c>
      <c r="E1" t="str">
        <f>UPDATE</f>
        <v/>
      </c>
      <c r="G1"/>
      <c r="J1" s="4" t="s">
        <v>1</v>
      </c>
      <c r="K1" s="4"/>
    </row>
    <row r="2" spans="1:11" x14ac:dyDescent="0.35">
      <c r="G2" s="8"/>
      <c r="H2" s="8"/>
    </row>
    <row r="3" spans="1:11" s="18" customFormat="1" x14ac:dyDescent="0.35">
      <c r="A3" s="15" t="s">
        <v>2</v>
      </c>
      <c r="B3" s="16">
        <f>'Data Sheet'!B56</f>
        <v>42460</v>
      </c>
      <c r="C3" s="16">
        <f>'Data Sheet'!C56</f>
        <v>42825</v>
      </c>
      <c r="D3" s="16">
        <f>'Data Sheet'!D56</f>
        <v>43190</v>
      </c>
      <c r="E3" s="16">
        <f>'Data Sheet'!E56</f>
        <v>43555</v>
      </c>
      <c r="F3" s="16">
        <f>'Data Sheet'!F56</f>
        <v>43921</v>
      </c>
      <c r="G3" s="16">
        <f>'Data Sheet'!G56</f>
        <v>44286</v>
      </c>
      <c r="H3" s="16">
        <f>'Data Sheet'!H56</f>
        <v>44651</v>
      </c>
      <c r="I3" s="16">
        <f>'Data Sheet'!I56</f>
        <v>45016</v>
      </c>
      <c r="J3" s="16">
        <f>'Data Sheet'!J56</f>
        <v>45382</v>
      </c>
      <c r="K3" s="16">
        <f>'Data Sheet'!K56</f>
        <v>45747</v>
      </c>
    </row>
    <row r="4" spans="1:11" x14ac:dyDescent="0.35">
      <c r="A4" s="6" t="s">
        <v>24</v>
      </c>
      <c r="B4" s="19">
        <f>'Data Sheet'!B57</f>
        <v>2948</v>
      </c>
      <c r="C4" s="19">
        <f>'Data Sheet'!C57</f>
        <v>2959</v>
      </c>
      <c r="D4" s="19">
        <f>'Data Sheet'!D57</f>
        <v>5922</v>
      </c>
      <c r="E4" s="19">
        <f>'Data Sheet'!E57</f>
        <v>5926</v>
      </c>
      <c r="F4" s="19">
        <f>'Data Sheet'!F57</f>
        <v>6339</v>
      </c>
      <c r="G4" s="19">
        <f>'Data Sheet'!G57</f>
        <v>6445</v>
      </c>
      <c r="H4" s="19">
        <f>'Data Sheet'!H57</f>
        <v>6765</v>
      </c>
      <c r="I4" s="19">
        <f>'Data Sheet'!I57</f>
        <v>6766</v>
      </c>
      <c r="J4" s="19">
        <f>'Data Sheet'!J57</f>
        <v>6766</v>
      </c>
      <c r="K4" s="19">
        <f>'Data Sheet'!K57</f>
        <v>13532</v>
      </c>
    </row>
    <row r="5" spans="1:11" s="6" customFormat="1" x14ac:dyDescent="0.35">
      <c r="A5" s="6" t="s">
        <v>25</v>
      </c>
      <c r="B5" s="19">
        <f>'Data Sheet'!B58</f>
        <v>228608</v>
      </c>
      <c r="C5" s="19">
        <f>'Data Sheet'!C58</f>
        <v>260750</v>
      </c>
      <c r="D5" s="19">
        <f>'Data Sheet'!D58</f>
        <v>287584</v>
      </c>
      <c r="E5" s="19">
        <f>'Data Sheet'!E58</f>
        <v>381186</v>
      </c>
      <c r="F5" s="19">
        <f>'Data Sheet'!F58</f>
        <v>442827</v>
      </c>
      <c r="G5" s="19">
        <f>'Data Sheet'!G58</f>
        <v>693727</v>
      </c>
      <c r="H5" s="19">
        <f>'Data Sheet'!H58</f>
        <v>772720</v>
      </c>
      <c r="I5" s="19">
        <f>'Data Sheet'!I58</f>
        <v>709106</v>
      </c>
      <c r="J5" s="19">
        <f>'Data Sheet'!J58</f>
        <v>786715</v>
      </c>
      <c r="K5" s="19">
        <f>'Data Sheet'!K58</f>
        <v>829668</v>
      </c>
    </row>
    <row r="6" spans="1:11" x14ac:dyDescent="0.35">
      <c r="A6" s="11" t="s">
        <v>71</v>
      </c>
      <c r="B6" s="19">
        <f>'Data Sheet'!B59</f>
        <v>194714</v>
      </c>
      <c r="C6" s="19">
        <f>'Data Sheet'!C59</f>
        <v>217475</v>
      </c>
      <c r="D6" s="19">
        <f>'Data Sheet'!D59</f>
        <v>239843</v>
      </c>
      <c r="E6" s="19">
        <f>'Data Sheet'!E59</f>
        <v>307714</v>
      </c>
      <c r="F6" s="19">
        <f>'Data Sheet'!F59</f>
        <v>355133</v>
      </c>
      <c r="G6" s="19">
        <f>'Data Sheet'!G59</f>
        <v>278962</v>
      </c>
      <c r="H6" s="19">
        <f>'Data Sheet'!H59</f>
        <v>319158</v>
      </c>
      <c r="I6" s="19">
        <f>'Data Sheet'!I59</f>
        <v>451664</v>
      </c>
      <c r="J6" s="19">
        <f>'Data Sheet'!J59</f>
        <v>350719</v>
      </c>
      <c r="K6" s="19">
        <f>'Data Sheet'!K59</f>
        <v>374313</v>
      </c>
    </row>
    <row r="7" spans="1:11" s="6" customFormat="1" x14ac:dyDescent="0.35">
      <c r="A7" s="11" t="s">
        <v>72</v>
      </c>
      <c r="B7" s="19">
        <f>'Data Sheet'!B60</f>
        <v>172727</v>
      </c>
      <c r="C7" s="19">
        <f>'Data Sheet'!C60</f>
        <v>225618</v>
      </c>
      <c r="D7" s="19">
        <f>'Data Sheet'!D60</f>
        <v>277924</v>
      </c>
      <c r="E7" s="19">
        <f>'Data Sheet'!E60</f>
        <v>302804</v>
      </c>
      <c r="F7" s="19">
        <f>'Data Sheet'!F60</f>
        <v>358716</v>
      </c>
      <c r="G7" s="19">
        <f>'Data Sheet'!G60</f>
        <v>340931</v>
      </c>
      <c r="H7" s="19">
        <f>'Data Sheet'!H60</f>
        <v>399979</v>
      </c>
      <c r="I7" s="19">
        <f>'Data Sheet'!I60</f>
        <v>438346</v>
      </c>
      <c r="J7" s="19">
        <f>'Data Sheet'!J60</f>
        <v>610848</v>
      </c>
      <c r="K7" s="19">
        <f>'Data Sheet'!K60</f>
        <v>732200</v>
      </c>
    </row>
    <row r="8" spans="1:11" s="8" customFormat="1" x14ac:dyDescent="0.35">
      <c r="A8" s="8" t="s">
        <v>26</v>
      </c>
      <c r="B8" s="20">
        <f>'Data Sheet'!B61</f>
        <v>598997</v>
      </c>
      <c r="C8" s="20">
        <f>'Data Sheet'!C61</f>
        <v>706802</v>
      </c>
      <c r="D8" s="20">
        <f>'Data Sheet'!D61</f>
        <v>811273</v>
      </c>
      <c r="E8" s="20">
        <f>'Data Sheet'!E61</f>
        <v>997630</v>
      </c>
      <c r="F8" s="20">
        <f>'Data Sheet'!F61</f>
        <v>1163015</v>
      </c>
      <c r="G8" s="20">
        <f>'Data Sheet'!G61</f>
        <v>1320065</v>
      </c>
      <c r="H8" s="20">
        <f>'Data Sheet'!H61</f>
        <v>1498622</v>
      </c>
      <c r="I8" s="20">
        <f>'Data Sheet'!I61</f>
        <v>1605882</v>
      </c>
      <c r="J8" s="20">
        <f>'Data Sheet'!J61</f>
        <v>1755048</v>
      </c>
      <c r="K8" s="20">
        <f>'Data Sheet'!K61</f>
        <v>1949713</v>
      </c>
    </row>
    <row r="9" spans="1:11" s="8" customFormat="1" x14ac:dyDescent="0.35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5">
      <c r="A10" s="6" t="s">
        <v>27</v>
      </c>
      <c r="B10" s="19">
        <f>'Data Sheet'!B62</f>
        <v>184910</v>
      </c>
      <c r="C10" s="19">
        <f>'Data Sheet'!C62</f>
        <v>198526</v>
      </c>
      <c r="D10" s="19">
        <f>'Data Sheet'!D62</f>
        <v>403885</v>
      </c>
      <c r="E10" s="19">
        <f>'Data Sheet'!E62</f>
        <v>398374</v>
      </c>
      <c r="F10" s="19">
        <f>'Data Sheet'!F62</f>
        <v>532658</v>
      </c>
      <c r="G10" s="19">
        <f>'Data Sheet'!G62</f>
        <v>541258</v>
      </c>
      <c r="H10" s="19">
        <f>'Data Sheet'!H62</f>
        <v>627798</v>
      </c>
      <c r="I10" s="19">
        <f>'Data Sheet'!I62</f>
        <v>724805</v>
      </c>
      <c r="J10" s="19">
        <f>'Data Sheet'!J62</f>
        <v>779985</v>
      </c>
      <c r="K10" s="19">
        <f>'Data Sheet'!K62</f>
        <v>999393</v>
      </c>
    </row>
    <row r="11" spans="1:11" x14ac:dyDescent="0.35">
      <c r="A11" s="6" t="s">
        <v>28</v>
      </c>
      <c r="B11" s="19">
        <f>'Data Sheet'!B63</f>
        <v>228697</v>
      </c>
      <c r="C11" s="19">
        <f>'Data Sheet'!C63</f>
        <v>324837</v>
      </c>
      <c r="D11" s="19">
        <f>'Data Sheet'!D63</f>
        <v>187022</v>
      </c>
      <c r="E11" s="19">
        <f>'Data Sheet'!E63</f>
        <v>179463</v>
      </c>
      <c r="F11" s="19">
        <f>'Data Sheet'!F63</f>
        <v>109106</v>
      </c>
      <c r="G11" s="19">
        <f>'Data Sheet'!G63</f>
        <v>125953</v>
      </c>
      <c r="H11" s="19">
        <f>'Data Sheet'!H63</f>
        <v>172506</v>
      </c>
      <c r="I11" s="19">
        <f>'Data Sheet'!I63</f>
        <v>293752</v>
      </c>
      <c r="J11" s="19">
        <f>'Data Sheet'!J63</f>
        <v>338855</v>
      </c>
      <c r="K11" s="19">
        <f>'Data Sheet'!K63</f>
        <v>262358</v>
      </c>
    </row>
    <row r="12" spans="1:11" x14ac:dyDescent="0.35">
      <c r="A12" s="6" t="s">
        <v>29</v>
      </c>
      <c r="B12" s="19">
        <f>'Data Sheet'!B64</f>
        <v>84015</v>
      </c>
      <c r="C12" s="19">
        <f>'Data Sheet'!C64</f>
        <v>82899</v>
      </c>
      <c r="D12" s="19">
        <f>'Data Sheet'!D64</f>
        <v>82862</v>
      </c>
      <c r="E12" s="19">
        <f>'Data Sheet'!E64</f>
        <v>235635</v>
      </c>
      <c r="F12" s="19">
        <f>'Data Sheet'!F64</f>
        <v>276767</v>
      </c>
      <c r="G12" s="19">
        <f>'Data Sheet'!G64</f>
        <v>364828</v>
      </c>
      <c r="H12" s="19">
        <f>'Data Sheet'!H64</f>
        <v>394264</v>
      </c>
      <c r="I12" s="19">
        <f>'Data Sheet'!I64</f>
        <v>235560</v>
      </c>
      <c r="J12" s="19">
        <f>'Data Sheet'!J64</f>
        <v>225672</v>
      </c>
      <c r="K12" s="19">
        <f>'Data Sheet'!K64</f>
        <v>242381</v>
      </c>
    </row>
    <row r="13" spans="1:11" x14ac:dyDescent="0.35">
      <c r="A13" s="11" t="s">
        <v>73</v>
      </c>
      <c r="B13" s="19">
        <f>'Data Sheet'!B65</f>
        <v>101375</v>
      </c>
      <c r="C13" s="19">
        <f>'Data Sheet'!C65</f>
        <v>100540</v>
      </c>
      <c r="D13" s="19">
        <f>'Data Sheet'!D65</f>
        <v>137504</v>
      </c>
      <c r="E13" s="19">
        <f>'Data Sheet'!E65</f>
        <v>184158</v>
      </c>
      <c r="F13" s="19">
        <f>'Data Sheet'!F65</f>
        <v>244484</v>
      </c>
      <c r="G13" s="19">
        <f>'Data Sheet'!G65</f>
        <v>288026</v>
      </c>
      <c r="H13" s="19">
        <f>'Data Sheet'!H65</f>
        <v>304054</v>
      </c>
      <c r="I13" s="19">
        <f>'Data Sheet'!I65</f>
        <v>351765</v>
      </c>
      <c r="J13" s="19">
        <f>'Data Sheet'!J65</f>
        <v>410536</v>
      </c>
      <c r="K13" s="19">
        <f>'Data Sheet'!K65</f>
        <v>445581</v>
      </c>
    </row>
    <row r="14" spans="1:11" s="8" customFormat="1" x14ac:dyDescent="0.35">
      <c r="A14" s="8" t="s">
        <v>26</v>
      </c>
      <c r="B14" s="19">
        <f>'Data Sheet'!B66</f>
        <v>598997</v>
      </c>
      <c r="C14" s="19">
        <f>'Data Sheet'!C66</f>
        <v>706802</v>
      </c>
      <c r="D14" s="19">
        <f>'Data Sheet'!D66</f>
        <v>811273</v>
      </c>
      <c r="E14" s="19">
        <f>'Data Sheet'!E66</f>
        <v>997630</v>
      </c>
      <c r="F14" s="19">
        <f>'Data Sheet'!F66</f>
        <v>1163015</v>
      </c>
      <c r="G14" s="19">
        <f>'Data Sheet'!G66</f>
        <v>1320065</v>
      </c>
      <c r="H14" s="19">
        <f>'Data Sheet'!H66</f>
        <v>1498622</v>
      </c>
      <c r="I14" s="19">
        <f>'Data Sheet'!I66</f>
        <v>1605882</v>
      </c>
      <c r="J14" s="19">
        <f>'Data Sheet'!J66</f>
        <v>1755048</v>
      </c>
      <c r="K14" s="19">
        <f>'Data Sheet'!K66</f>
        <v>1949713</v>
      </c>
    </row>
    <row r="15" spans="1:11" x14ac:dyDescent="0.35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5">
      <c r="A16" s="29" t="s">
        <v>30</v>
      </c>
      <c r="B16" s="21">
        <f>B13-B7</f>
        <v>-71352</v>
      </c>
      <c r="C16" s="21">
        <f t="shared" ref="C16:K16" si="0">C13-C7</f>
        <v>-125078</v>
      </c>
      <c r="D16" s="21">
        <f t="shared" si="0"/>
        <v>-140420</v>
      </c>
      <c r="E16" s="21">
        <f t="shared" si="0"/>
        <v>-118646</v>
      </c>
      <c r="F16" s="21">
        <f t="shared" si="0"/>
        <v>-114232</v>
      </c>
      <c r="G16" s="21">
        <f t="shared" si="0"/>
        <v>-52905</v>
      </c>
      <c r="H16" s="21">
        <f t="shared" si="0"/>
        <v>-95925</v>
      </c>
      <c r="I16" s="21">
        <f t="shared" si="0"/>
        <v>-86581</v>
      </c>
      <c r="J16" s="21">
        <f t="shared" si="0"/>
        <v>-200312</v>
      </c>
      <c r="K16" s="21">
        <f t="shared" si="0"/>
        <v>-286619</v>
      </c>
    </row>
    <row r="17" spans="1:11" x14ac:dyDescent="0.35">
      <c r="A17" s="11" t="s">
        <v>44</v>
      </c>
      <c r="B17" s="21">
        <f>'Data Sheet'!B67</f>
        <v>4465</v>
      </c>
      <c r="C17" s="21">
        <f>'Data Sheet'!C67</f>
        <v>8177</v>
      </c>
      <c r="D17" s="21">
        <f>'Data Sheet'!D67</f>
        <v>17555</v>
      </c>
      <c r="E17" s="21">
        <f>'Data Sheet'!E67</f>
        <v>30089</v>
      </c>
      <c r="F17" s="21">
        <f>'Data Sheet'!F67</f>
        <v>19656</v>
      </c>
      <c r="G17" s="21">
        <f>'Data Sheet'!G67</f>
        <v>19014</v>
      </c>
      <c r="H17" s="21">
        <f>'Data Sheet'!H67</f>
        <v>23640</v>
      </c>
      <c r="I17" s="21">
        <f>'Data Sheet'!I67</f>
        <v>28448</v>
      </c>
      <c r="J17" s="21">
        <f>'Data Sheet'!J67</f>
        <v>31628</v>
      </c>
      <c r="K17" s="21">
        <f>'Data Sheet'!K67</f>
        <v>42121</v>
      </c>
    </row>
    <row r="18" spans="1:11" x14ac:dyDescent="0.35">
      <c r="A18" s="11" t="s">
        <v>45</v>
      </c>
      <c r="B18" s="21">
        <f>'Data Sheet'!B68</f>
        <v>46486</v>
      </c>
      <c r="C18" s="21">
        <f>'Data Sheet'!C68</f>
        <v>48951</v>
      </c>
      <c r="D18" s="21">
        <f>'Data Sheet'!D68</f>
        <v>60837</v>
      </c>
      <c r="E18" s="21">
        <f>'Data Sheet'!E68</f>
        <v>67561</v>
      </c>
      <c r="F18" s="21">
        <f>'Data Sheet'!F68</f>
        <v>73903</v>
      </c>
      <c r="G18" s="21">
        <f>'Data Sheet'!G68</f>
        <v>81672</v>
      </c>
      <c r="H18" s="21">
        <f>'Data Sheet'!H68</f>
        <v>107778</v>
      </c>
      <c r="I18" s="21">
        <f>'Data Sheet'!I68</f>
        <v>140008</v>
      </c>
      <c r="J18" s="21">
        <f>'Data Sheet'!J68</f>
        <v>152770</v>
      </c>
      <c r="K18" s="21">
        <f>'Data Sheet'!K68</f>
        <v>146062</v>
      </c>
    </row>
    <row r="20" spans="1:11" x14ac:dyDescent="0.35">
      <c r="A20" s="11" t="s">
        <v>46</v>
      </c>
      <c r="B20" s="5">
        <f>IF('Profit &amp; Loss'!B4&gt;0,'Balance Sheet'!B17/('Profit &amp; Loss'!B4/365),0)</f>
        <v>5.9788211297109504</v>
      </c>
      <c r="C20" s="5">
        <f>IF('Profit &amp; Loss'!C4&gt;0,'Balance Sheet'!C17/('Profit &amp; Loss'!C4/365),0)</f>
        <v>9.8192654151615049</v>
      </c>
      <c r="D20" s="5">
        <f>IF('Profit &amp; Loss'!D4&gt;0,'Balance Sheet'!D17/('Profit &amp; Loss'!D4/365),0)</f>
        <v>16.395081661007669</v>
      </c>
      <c r="E20" s="5">
        <f>IF('Profit &amp; Loss'!E4&gt;0,'Balance Sheet'!E17/('Profit &amp; Loss'!E4/365),0)</f>
        <v>19.323895857563382</v>
      </c>
      <c r="F20" s="5">
        <f>IF('Profit &amp; Loss'!F4&gt;0,'Balance Sheet'!F17/('Profit &amp; Loss'!F4/365),0)</f>
        <v>12.023952577516555</v>
      </c>
      <c r="G20" s="5">
        <f>IF('Profit &amp; Loss'!G4&gt;0,'Balance Sheet'!G17/('Profit &amp; Loss'!G4/365),0)</f>
        <v>14.883134930421376</v>
      </c>
      <c r="H20" s="5">
        <f>IF('Profit &amp; Loss'!H4&gt;0,'Balance Sheet'!H17/('Profit &amp; Loss'!H4/365),0)</f>
        <v>12.421095968894717</v>
      </c>
      <c r="I20" s="5">
        <f>IF('Profit &amp; Loss'!I4&gt;0,'Balance Sheet'!I17/('Profit &amp; Loss'!I4/365),0)</f>
        <v>11.847977398345039</v>
      </c>
      <c r="J20" s="5">
        <f>IF('Profit &amp; Loss'!J4&gt;0,'Balance Sheet'!J17/('Profit &amp; Loss'!J4/365),0)</f>
        <v>12.840593476826974</v>
      </c>
      <c r="K20" s="5">
        <f>IF('Profit &amp; Loss'!K4&gt;0,'Balance Sheet'!K17/('Profit &amp; Loss'!K4/365),0)</f>
        <v>15.967849649986498</v>
      </c>
    </row>
    <row r="21" spans="1:11" x14ac:dyDescent="0.35">
      <c r="A21" s="11" t="s">
        <v>47</v>
      </c>
      <c r="B21" s="5">
        <f>IF('Balance Sheet'!B18&gt;0,'Profit &amp; Loss'!B4/'Balance Sheet'!B18,0)</f>
        <v>5.8637654347545496</v>
      </c>
      <c r="C21" s="5">
        <f>IF('Balance Sheet'!C18&gt;0,'Profit &amp; Loss'!C4/'Balance Sheet'!C18,0)</f>
        <v>6.2093522093522093</v>
      </c>
      <c r="D21" s="5">
        <f>IF('Balance Sheet'!D18&gt;0,'Profit &amp; Loss'!D4/'Balance Sheet'!D18,0)</f>
        <v>6.4241004651774416</v>
      </c>
      <c r="E21" s="5">
        <f>IF('Balance Sheet'!E18&gt;0,'Profit &amp; Loss'!E4/'Balance Sheet'!E18,0)</f>
        <v>8.41220526635189</v>
      </c>
      <c r="F21" s="5">
        <f>IF('Balance Sheet'!F18&gt;0,'Profit &amp; Loss'!F4/'Balance Sheet'!F18,0)</f>
        <v>8.0738129710566557</v>
      </c>
      <c r="G21" s="5">
        <f>IF('Balance Sheet'!G18&gt;0,'Profit &amp; Loss'!G4/'Balance Sheet'!G18,0)</f>
        <v>5.7095087667744151</v>
      </c>
      <c r="H21" s="5">
        <f>IF('Balance Sheet'!H18&gt;0,'Profit &amp; Loss'!H4/'Balance Sheet'!H18,0)</f>
        <v>6.4454062981313438</v>
      </c>
      <c r="I21" s="5">
        <f>IF('Balance Sheet'!I18&gt;0,'Profit &amp; Loss'!I4/'Balance Sheet'!I18,0)</f>
        <v>6.2596137363579221</v>
      </c>
      <c r="J21" s="5">
        <f>IF('Balance Sheet'!J18&gt;0,'Profit &amp; Loss'!J4/'Balance Sheet'!J18,0)</f>
        <v>5.8849315965176405</v>
      </c>
      <c r="K21" s="5">
        <f>IF('Balance Sheet'!K18&gt;0,'Profit &amp; Loss'!K4/'Balance Sheet'!K18,0)</f>
        <v>6.5918582519751885</v>
      </c>
    </row>
    <row r="23" spans="1:11" s="8" customFormat="1" x14ac:dyDescent="0.35">
      <c r="A23" s="8" t="s">
        <v>59</v>
      </c>
      <c r="B23" s="14">
        <f>IF(SUM('Balance Sheet'!B4:B5)&gt;0,'Profit &amp; Loss'!B12/SUM('Balance Sheet'!B4:B5),"")</f>
        <v>0.12845704710739519</v>
      </c>
      <c r="C23" s="14">
        <f>IF(SUM('Balance Sheet'!C4:C5)&gt;0,'Profit &amp; Loss'!C12/SUM('Balance Sheet'!C4:C5),"")</f>
        <v>0.11338634631355016</v>
      </c>
      <c r="D23" s="14">
        <f>IF(SUM('Balance Sheet'!D4:D5)&gt;0,'Profit &amp; Loss'!D12/SUM('Balance Sheet'!D4:D5),"")</f>
        <v>0.12291060489393743</v>
      </c>
      <c r="E23" s="14">
        <f>IF(SUM('Balance Sheet'!E4:E5)&gt;0,'Profit &amp; Loss'!E12/SUM('Balance Sheet'!E4:E5),"")</f>
        <v>0.10226497757754861</v>
      </c>
      <c r="F23" s="14">
        <f>IF(SUM('Balance Sheet'!F4:F5)&gt;0,'Profit &amp; Loss'!F12/SUM('Balance Sheet'!F4:F5),"")</f>
        <v>8.7615714457461163E-2</v>
      </c>
      <c r="G23" s="14">
        <f>IF(SUM('Balance Sheet'!G4:G5)&gt;0,'Profit &amp; Loss'!G12/SUM('Balance Sheet'!G4:G5),"")</f>
        <v>7.0165616448529797E-2</v>
      </c>
      <c r="H23" s="14">
        <f>IF(SUM('Balance Sheet'!H4:H5)&gt;0,'Profit &amp; Loss'!H12/SUM('Balance Sheet'!H4:H5),"")</f>
        <v>7.787834275194519E-2</v>
      </c>
      <c r="I23" s="14">
        <f>IF(SUM('Balance Sheet'!I4:I5)&gt;0,'Profit &amp; Loss'!I12/SUM('Balance Sheet'!I4:I5),"")</f>
        <v>9.3175875016762777E-2</v>
      </c>
      <c r="J23" s="14">
        <f>IF(SUM('Balance Sheet'!J4:J5)&gt;0,'Profit &amp; Loss'!J12/SUM('Balance Sheet'!J4:J5),"")</f>
        <v>8.7741231359036956E-2</v>
      </c>
      <c r="K23" s="14">
        <f>IF(SUM('Balance Sheet'!K4:K5)&gt;0,'Profit &amp; Loss'!K12/SUM('Balance Sheet'!K4:K5),"")</f>
        <v>8.259962049335863E-2</v>
      </c>
    </row>
    <row r="24" spans="1:11" s="8" customFormat="1" x14ac:dyDescent="0.35">
      <c r="A24" s="8" t="s">
        <v>60</v>
      </c>
      <c r="B24" s="14"/>
      <c r="C24" s="14">
        <f>IF((B4+B5+B6+C4+C5+C6)&gt;0,('Profit &amp; Loss'!C10+'Profit &amp; Loss'!C9)*2/(B4+B5+B6+C4+C5+C6),"")</f>
        <v>9.6716748176767092E-2</v>
      </c>
      <c r="D24" s="14">
        <f>IF((C4+C5+C6+D4+D5+D6)&gt;0,('Profit &amp; Loss'!D10+'Profit &amp; Loss'!D9)*2/(C4+C5+C6+D4+D5+D6),"")</f>
        <v>0.1133092762877107</v>
      </c>
      <c r="E24" s="14">
        <f>IF((D4+D5+D6+E4+E5+E6)&gt;0,('Profit &amp; Loss'!E10+'Profit &amp; Loss'!E9)*2/(D4+D5+D6+E4+E5+E6),"")</f>
        <v>0.11679443076108861</v>
      </c>
      <c r="F24" s="14">
        <f>IF((E4+E5+E6+F4+F5+F6)&gt;0,('Profit &amp; Loss'!F10+'Profit &amp; Loss'!F9)*2/(E4+E5+E6+F4+F5+F6),"")</f>
        <v>0.10090286000166764</v>
      </c>
      <c r="G24" s="14">
        <f>IF((F4+F5+F6+G4+G5+G6)&gt;0,('Profit &amp; Loss'!G10+'Profit &amp; Loss'!G9)*2/(F4+F5+F6+G4+G5+G6),"")</f>
        <v>8.5957812825040239E-2</v>
      </c>
      <c r="H24" s="14">
        <f>IF((G4+G5+G6+H4+H5+H6)&gt;0,('Profit &amp; Loss'!H10+'Profit &amp; Loss'!H9)*2/(G4+G5+G6+H4+H5+H6),"")</f>
        <v>9.4715650428318338E-2</v>
      </c>
      <c r="I24" s="14">
        <f>IF((H4+H5+H6+I4+I5+I6)&gt;0,('Profit &amp; Loss'!I10+'Profit &amp; Loss'!I9)*2/(H4+H5+H6+I4+I5+I6),"")</f>
        <v>0.10064077021276784</v>
      </c>
      <c r="J24" s="14">
        <f>IF((I4+I5+I6+J4+J5+J6)&gt;0,('Profit &amp; Loss'!J10+'Profit &amp; Loss'!J9)*2/(I4+I5+I6+J4+J5+J6),"")</f>
        <v>0.11027037689424744</v>
      </c>
      <c r="K24" s="14">
        <f>IF((J4+J5+J6+K4+K5+K6)&gt;0,('Profit &amp; Loss'!K10+'Profit &amp; Loss'!K9)*2/(J4+J5+J6+K4+K5+K6),"")</f>
        <v>0.11033178036450661</v>
      </c>
    </row>
    <row r="25" spans="1:11" s="18" customFormat="1" x14ac:dyDescent="0.35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/>
    </sheetView>
  </sheetViews>
  <sheetFormatPr defaultColWidth="8.81640625" defaultRowHeight="14.5" x14ac:dyDescent="0.35"/>
  <cols>
    <col min="1" max="1" width="26.81640625" style="6" bestFit="1" customWidth="1"/>
    <col min="2" max="6" width="13.453125" style="6" customWidth="1"/>
    <col min="7" max="11" width="13.453125" style="6" bestFit="1" customWidth="1"/>
    <col min="12" max="16384" width="8.81640625" style="6"/>
  </cols>
  <sheetData>
    <row r="1" spans="1:11" s="8" customFormat="1" x14ac:dyDescent="0.35">
      <c r="A1" s="8" t="str">
        <f>'Balance Sheet'!A1</f>
        <v>RELIANCE INDUSTRIES LTD</v>
      </c>
      <c r="E1" t="str">
        <f>UPDATE</f>
        <v/>
      </c>
      <c r="F1"/>
      <c r="J1" s="4" t="s">
        <v>1</v>
      </c>
      <c r="K1" s="4"/>
    </row>
    <row r="3" spans="1:11" s="2" customFormat="1" x14ac:dyDescent="0.35">
      <c r="A3" s="15" t="s">
        <v>2</v>
      </c>
      <c r="B3" s="16">
        <f>'Data Sheet'!B81</f>
        <v>42460</v>
      </c>
      <c r="C3" s="16">
        <f>'Data Sheet'!C81</f>
        <v>42825</v>
      </c>
      <c r="D3" s="16">
        <f>'Data Sheet'!D81</f>
        <v>43190</v>
      </c>
      <c r="E3" s="16">
        <f>'Data Sheet'!E81</f>
        <v>43555</v>
      </c>
      <c r="F3" s="16">
        <f>'Data Sheet'!F81</f>
        <v>43921</v>
      </c>
      <c r="G3" s="16">
        <f>'Data Sheet'!G81</f>
        <v>44286</v>
      </c>
      <c r="H3" s="16">
        <f>'Data Sheet'!H81</f>
        <v>44651</v>
      </c>
      <c r="I3" s="16">
        <f>'Data Sheet'!I81</f>
        <v>45016</v>
      </c>
      <c r="J3" s="16">
        <f>'Data Sheet'!J81</f>
        <v>45382</v>
      </c>
      <c r="K3" s="16">
        <f>'Data Sheet'!K81</f>
        <v>45747</v>
      </c>
    </row>
    <row r="4" spans="1:11" s="8" customFormat="1" x14ac:dyDescent="0.35">
      <c r="A4" s="8" t="s">
        <v>32</v>
      </c>
      <c r="B4" s="1">
        <f>'Data Sheet'!B82</f>
        <v>38134</v>
      </c>
      <c r="C4" s="1">
        <f>'Data Sheet'!C82</f>
        <v>49550</v>
      </c>
      <c r="D4" s="1">
        <f>'Data Sheet'!D82</f>
        <v>71459</v>
      </c>
      <c r="E4" s="1">
        <f>'Data Sheet'!E82</f>
        <v>42346</v>
      </c>
      <c r="F4" s="1">
        <f>'Data Sheet'!F82</f>
        <v>94877</v>
      </c>
      <c r="G4" s="1">
        <f>'Data Sheet'!G82</f>
        <v>26958</v>
      </c>
      <c r="H4" s="1">
        <f>'Data Sheet'!H82</f>
        <v>110654</v>
      </c>
      <c r="I4" s="1">
        <f>'Data Sheet'!I82</f>
        <v>115032</v>
      </c>
      <c r="J4" s="1">
        <f>'Data Sheet'!J82</f>
        <v>158788</v>
      </c>
      <c r="K4" s="1">
        <f>'Data Sheet'!K82</f>
        <v>178703</v>
      </c>
    </row>
    <row r="5" spans="1:11" x14ac:dyDescent="0.35">
      <c r="A5" s="6" t="s">
        <v>33</v>
      </c>
      <c r="B5" s="9">
        <f>'Data Sheet'!B83</f>
        <v>-36186</v>
      </c>
      <c r="C5" s="9">
        <f>'Data Sheet'!C83</f>
        <v>-66201</v>
      </c>
      <c r="D5" s="9">
        <f>'Data Sheet'!D83</f>
        <v>-68192</v>
      </c>
      <c r="E5" s="9">
        <f>'Data Sheet'!E83</f>
        <v>-94507</v>
      </c>
      <c r="F5" s="9">
        <f>'Data Sheet'!F83</f>
        <v>-72497</v>
      </c>
      <c r="G5" s="9">
        <f>'Data Sheet'!G83</f>
        <v>-142385</v>
      </c>
      <c r="H5" s="9">
        <f>'Data Sheet'!H83</f>
        <v>-109162</v>
      </c>
      <c r="I5" s="9">
        <f>'Data Sheet'!I83</f>
        <v>-93001</v>
      </c>
      <c r="J5" s="9">
        <f>'Data Sheet'!J83</f>
        <v>-113581</v>
      </c>
      <c r="K5" s="9">
        <f>'Data Sheet'!K83</f>
        <v>-137535</v>
      </c>
    </row>
    <row r="6" spans="1:11" x14ac:dyDescent="0.35">
      <c r="A6" s="6" t="s">
        <v>34</v>
      </c>
      <c r="B6" s="9">
        <f>'Data Sheet'!B84</f>
        <v>-3210</v>
      </c>
      <c r="C6" s="9">
        <f>'Data Sheet'!C84</f>
        <v>8617</v>
      </c>
      <c r="D6" s="9">
        <f>'Data Sheet'!D84</f>
        <v>-2001</v>
      </c>
      <c r="E6" s="9">
        <f>'Data Sheet'!E84</f>
        <v>55906</v>
      </c>
      <c r="F6" s="9">
        <f>'Data Sheet'!F84</f>
        <v>-2541</v>
      </c>
      <c r="G6" s="9">
        <f>'Data Sheet'!G84</f>
        <v>101904</v>
      </c>
      <c r="H6" s="9">
        <f>'Data Sheet'!H84</f>
        <v>17289</v>
      </c>
      <c r="I6" s="9">
        <f>'Data Sheet'!I84</f>
        <v>10455</v>
      </c>
      <c r="J6" s="9">
        <f>'Data Sheet'!J84</f>
        <v>-16646</v>
      </c>
      <c r="K6" s="9">
        <f>'Data Sheet'!K84</f>
        <v>-31891</v>
      </c>
    </row>
    <row r="7" spans="1:11" s="8" customFormat="1" x14ac:dyDescent="0.35">
      <c r="A7" s="8" t="s">
        <v>35</v>
      </c>
      <c r="B7" s="1">
        <f>'Data Sheet'!B85</f>
        <v>-1262</v>
      </c>
      <c r="C7" s="1">
        <f>'Data Sheet'!C85</f>
        <v>-8034</v>
      </c>
      <c r="D7" s="1">
        <f>'Data Sheet'!D85</f>
        <v>1266</v>
      </c>
      <c r="E7" s="1">
        <f>'Data Sheet'!E85</f>
        <v>3745</v>
      </c>
      <c r="F7" s="1">
        <f>'Data Sheet'!F85</f>
        <v>19839</v>
      </c>
      <c r="G7" s="1">
        <f>'Data Sheet'!G85</f>
        <v>-13523</v>
      </c>
      <c r="H7" s="1">
        <f>'Data Sheet'!H85</f>
        <v>18781</v>
      </c>
      <c r="I7" s="1">
        <f>'Data Sheet'!I85</f>
        <v>32486</v>
      </c>
      <c r="J7" s="1">
        <f>'Data Sheet'!J85</f>
        <v>28561</v>
      </c>
      <c r="K7" s="1">
        <f>'Data Sheet'!K85</f>
        <v>9277</v>
      </c>
    </row>
    <row r="8" spans="1:11" x14ac:dyDescent="0.35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5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6"/>
  <sheetViews>
    <sheetView zoomScale="150" zoomScaleNormal="150" zoomScalePageLayoutView="150" workbookViewId="0">
      <selection activeCell="E5" sqref="E5"/>
    </sheetView>
  </sheetViews>
  <sheetFormatPr defaultColWidth="8.81640625" defaultRowHeight="14.5" x14ac:dyDescent="0.35"/>
  <cols>
    <col min="1" max="1" width="8.81640625" style="8"/>
    <col min="2" max="2" width="10.453125" style="11" customWidth="1"/>
    <col min="3" max="3" width="13.36328125" style="26" customWidth="1"/>
    <col min="4" max="5" width="8.81640625" style="11"/>
    <col min="6" max="6" width="6.81640625" style="11" customWidth="1"/>
    <col min="7" max="16384" width="8.81640625" style="11"/>
  </cols>
  <sheetData>
    <row r="1" spans="1:7" ht="21" x14ac:dyDescent="0.5">
      <c r="A1" s="25" t="s">
        <v>56</v>
      </c>
    </row>
    <row r="3" spans="1:7" x14ac:dyDescent="0.35">
      <c r="A3" s="8" t="s">
        <v>48</v>
      </c>
    </row>
    <row r="4" spans="1:7" x14ac:dyDescent="0.35">
      <c r="B4" s="11" t="s">
        <v>90</v>
      </c>
    </row>
    <row r="5" spans="1:7" x14ac:dyDescent="0.35">
      <c r="B5" s="11" t="s">
        <v>49</v>
      </c>
    </row>
    <row r="7" spans="1:7" x14ac:dyDescent="0.35">
      <c r="A7" s="8" t="s">
        <v>50</v>
      </c>
    </row>
    <row r="8" spans="1:7" x14ac:dyDescent="0.35">
      <c r="B8" s="11" t="s">
        <v>51</v>
      </c>
      <c r="C8" s="27" t="s">
        <v>91</v>
      </c>
    </row>
    <row r="10" spans="1:7" x14ac:dyDescent="0.35">
      <c r="A10" s="8" t="s">
        <v>52</v>
      </c>
    </row>
    <row r="11" spans="1:7" x14ac:dyDescent="0.35">
      <c r="B11" s="11" t="s">
        <v>53</v>
      </c>
    </row>
    <row r="14" spans="1:7" x14ac:dyDescent="0.35">
      <c r="A14" s="8" t="s">
        <v>54</v>
      </c>
    </row>
    <row r="15" spans="1:7" x14ac:dyDescent="0.35">
      <c r="B15" s="11" t="s">
        <v>55</v>
      </c>
    </row>
    <row r="16" spans="1:7" x14ac:dyDescent="0.35">
      <c r="B16" s="11" t="s">
        <v>92</v>
      </c>
      <c r="G16" s="28"/>
    </row>
  </sheetData>
  <hyperlinks>
    <hyperlink ref="C8" r:id="rId1" display=" http://www.screener.in/exce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HISTORICAL FS</vt:lpstr>
      <vt:lpstr>Data Sheet</vt:lpstr>
      <vt:lpstr>Ratio Analysis</vt:lpstr>
      <vt:lpstr>Forcasting</vt:lpstr>
      <vt:lpstr>CFS</vt:lpstr>
      <vt:lpstr>wacc</vt:lpstr>
      <vt:lpstr>DCF</vt:lpstr>
      <vt:lpstr>RAW FS</vt:lpstr>
      <vt:lpstr>BETA Comps.</vt:lpstr>
      <vt:lpstr>Intrisic Growth </vt:lpstr>
      <vt:lpstr>Profit &amp; Loss</vt:lpstr>
      <vt:lpstr>Quarters</vt:lpstr>
      <vt:lpstr>Balance Sheet</vt:lpstr>
      <vt:lpstr>Cash Flow</vt:lpstr>
      <vt:lpstr>Customization</vt:lpstr>
      <vt:lpstr>UPDATE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kashish thakur</cp:lastModifiedBy>
  <cp:lastPrinted>2012-12-06T18:14:13Z</cp:lastPrinted>
  <dcterms:created xsi:type="dcterms:W3CDTF">2012-08-17T09:55:37Z</dcterms:created>
  <dcterms:modified xsi:type="dcterms:W3CDTF">2026-03-18T09:20:37Z</dcterms:modified>
</cp:coreProperties>
</file>